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udcgal-my.sharepoint.com/personal/rosa_rios_udc_es/Documents/Clases/Estadistica/Resueltas/"/>
    </mc:Choice>
  </mc:AlternateContent>
  <xr:revisionPtr revIDLastSave="7" documentId="8_{9A44F450-6F9A-4831-B887-C560356167FD}" xr6:coauthVersionLast="47" xr6:coauthVersionMax="47" xr10:uidLastSave="{17ADD121-DFF5-4AF3-A9FA-74BE6302FD59}"/>
  <bookViews>
    <workbookView xWindow="-90" yWindow="-90" windowWidth="19380" windowHeight="11460" activeTab="4" xr2:uid="{00000000-000D-0000-FFFF-FFFF00000000}"/>
  </bookViews>
  <sheets>
    <sheet name="6.2" sheetId="1" r:id="rId1"/>
    <sheet name="6.7" sheetId="2" r:id="rId2"/>
    <sheet name="6.9" sheetId="3" r:id="rId3"/>
    <sheet name="6.12" sheetId="4" r:id="rId4"/>
    <sheet name="6.1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4" l="1"/>
  <c r="F34" i="3"/>
  <c r="B35" i="2"/>
  <c r="I27" i="5"/>
  <c r="F27" i="5"/>
  <c r="F20" i="5"/>
  <c r="B28" i="5" s="1"/>
  <c r="B29" i="5" s="1"/>
  <c r="B20" i="5"/>
  <c r="B19" i="5"/>
  <c r="F22" i="5" l="1"/>
  <c r="B13" i="4"/>
  <c r="B30" i="4" l="1"/>
  <c r="B25" i="4"/>
  <c r="B20" i="4"/>
  <c r="B40" i="3"/>
  <c r="F33" i="3"/>
  <c r="B33" i="3"/>
  <c r="F26" i="3"/>
  <c r="F24" i="3"/>
  <c r="F31" i="3" s="1"/>
  <c r="B26" i="3"/>
  <c r="B24" i="3"/>
  <c r="B31" i="3" s="1"/>
  <c r="B38" i="3" s="1"/>
  <c r="B41" i="2" l="1"/>
  <c r="B40" i="2"/>
  <c r="B36" i="2"/>
  <c r="B26" i="2"/>
  <c r="B27" i="2"/>
  <c r="B25" i="2"/>
  <c r="B24" i="2"/>
  <c r="B18" i="1" l="1"/>
  <c r="B17" i="1"/>
  <c r="B16" i="1"/>
  <c r="B15" i="1"/>
  <c r="B14" i="1"/>
  <c r="B13" i="1"/>
  <c r="B12" i="1"/>
</calcChain>
</file>

<file path=xl/sharedStrings.xml><?xml version="1.0" encoding="utf-8"?>
<sst xmlns="http://schemas.openxmlformats.org/spreadsheetml/2006/main" count="116" uniqueCount="72">
  <si>
    <t>𝑃(0≤𝑋≤1.42)</t>
  </si>
  <si>
    <t>𝑃(−0.73≤𝑋≤0)</t>
  </si>
  <si>
    <t>𝑃(−1.37≤𝑋≤2.01)</t>
  </si>
  <si>
    <t>𝑃(0.65≤𝑋≤1.26)</t>
  </si>
  <si>
    <t>𝑃(−1.79≤𝑋≤−0.54)</t>
  </si>
  <si>
    <t>𝑃(𝑋≥1.13)</t>
  </si>
  <si>
    <t>𝑃(|𝑋|≤0.5)</t>
  </si>
  <si>
    <t>Peso nominal</t>
  </si>
  <si>
    <t>Por debajo del peso nominal</t>
  </si>
  <si>
    <t>Pesa no menos de 457 gr</t>
  </si>
  <si>
    <t>gr</t>
  </si>
  <si>
    <t>Apartado a</t>
  </si>
  <si>
    <t>Variable aleatoria</t>
  </si>
  <si>
    <t>X: Peso en gramos de un paquete N(µ,σ)</t>
  </si>
  <si>
    <t>x1</t>
  </si>
  <si>
    <t>X2</t>
  </si>
  <si>
    <t>µ</t>
  </si>
  <si>
    <t>σ</t>
  </si>
  <si>
    <t>Apartado b</t>
  </si>
  <si>
    <t>Producción diaria en paquetes</t>
  </si>
  <si>
    <t>Coste de producción 1</t>
  </si>
  <si>
    <t>Coste de producción 2</t>
  </si>
  <si>
    <r>
      <t>334´68+6´8705x−0´01398x</t>
    </r>
    <r>
      <rPr>
        <b/>
        <vertAlign val="superscript"/>
        <sz val="16"/>
        <color rgb="FF3F3F3F"/>
        <rFont val="Calibri"/>
        <family val="2"/>
        <scheme val="minor"/>
      </rPr>
      <t>2</t>
    </r>
  </si>
  <si>
    <t>Coste medio 1</t>
  </si>
  <si>
    <t>Coste medio 2</t>
  </si>
  <si>
    <r>
      <t>335+6,8515x-0,01402x</t>
    </r>
    <r>
      <rPr>
        <b/>
        <vertAlign val="superscript"/>
        <sz val="16"/>
        <color rgb="FF3F3F3F"/>
        <rFont val="Calibri"/>
        <family val="2"/>
        <scheme val="minor"/>
      </rPr>
      <t>2</t>
    </r>
  </si>
  <si>
    <t>Apartado c</t>
  </si>
  <si>
    <t>Coste medio producción 1</t>
  </si>
  <si>
    <t>Coste medio producción 2</t>
  </si>
  <si>
    <t>euros</t>
  </si>
  <si>
    <t>céntimos de €</t>
  </si>
  <si>
    <t>X: Grosor en mm</t>
  </si>
  <si>
    <t xml:space="preserve">Distribución </t>
  </si>
  <si>
    <t>Normal</t>
  </si>
  <si>
    <t>Probabilidad</t>
  </si>
  <si>
    <r>
      <t>p</t>
    </r>
    <r>
      <rPr>
        <vertAlign val="subscript"/>
        <sz val="16"/>
        <color theme="0"/>
        <rFont val="Aptos Narrow"/>
        <family val="2"/>
      </rPr>
      <t>a</t>
    </r>
  </si>
  <si>
    <t>P(X&lt;9,97)</t>
  </si>
  <si>
    <t>P(X&gt;10,05)</t>
  </si>
  <si>
    <r>
      <t>p</t>
    </r>
    <r>
      <rPr>
        <vertAlign val="subscript"/>
        <sz val="16"/>
        <color theme="0"/>
        <rFont val="Aptos Narrow"/>
        <family val="2"/>
      </rPr>
      <t>b</t>
    </r>
  </si>
  <si>
    <t>1-P(10-0,03&lt;X&lt;10+0,03)</t>
  </si>
  <si>
    <r>
      <t>p</t>
    </r>
    <r>
      <rPr>
        <vertAlign val="subscript"/>
        <sz val="16"/>
        <color theme="0"/>
        <rFont val="Aptos Narrow"/>
        <family val="2"/>
      </rPr>
      <t>c</t>
    </r>
  </si>
  <si>
    <t>Apartado d</t>
  </si>
  <si>
    <t>1-P(10-k&lt;X&lt;10+k)&lt;5%</t>
  </si>
  <si>
    <t>X1</t>
  </si>
  <si>
    <t>k</t>
  </si>
  <si>
    <t>Apartado e</t>
  </si>
  <si>
    <t>1-P(10-0,0392&lt;X&lt;10+0,0392)</t>
  </si>
  <si>
    <r>
      <t>p</t>
    </r>
    <r>
      <rPr>
        <vertAlign val="subscript"/>
        <sz val="16"/>
        <color theme="0"/>
        <rFont val="Aptos Narrow"/>
        <family val="2"/>
      </rPr>
      <t>e</t>
    </r>
  </si>
  <si>
    <t>Vida media</t>
  </si>
  <si>
    <t>horas</t>
  </si>
  <si>
    <t>λ</t>
  </si>
  <si>
    <t>X: vida en horas de los transistores</t>
  </si>
  <si>
    <t>p</t>
  </si>
  <si>
    <r>
      <t>p</t>
    </r>
    <r>
      <rPr>
        <i/>
        <vertAlign val="subscript"/>
        <sz val="16"/>
        <color theme="0"/>
        <rFont val="Calibri"/>
        <family val="2"/>
        <scheme val="minor"/>
      </rPr>
      <t>a</t>
    </r>
    <r>
      <rPr>
        <i/>
        <sz val="16"/>
        <color theme="0"/>
        <rFont val="Calibri"/>
        <family val="2"/>
        <scheme val="minor"/>
      </rPr>
      <t xml:space="preserve"> </t>
    </r>
  </si>
  <si>
    <r>
      <t>p</t>
    </r>
    <r>
      <rPr>
        <i/>
        <vertAlign val="subscript"/>
        <sz val="16"/>
        <color theme="0"/>
        <rFont val="Calibri"/>
        <family val="2"/>
        <scheme val="minor"/>
      </rPr>
      <t>b</t>
    </r>
    <r>
      <rPr>
        <i/>
        <sz val="16"/>
        <color theme="0"/>
        <rFont val="Calibri"/>
        <family val="2"/>
        <scheme val="minor"/>
      </rPr>
      <t xml:space="preserve"> </t>
    </r>
  </si>
  <si>
    <r>
      <t>p</t>
    </r>
    <r>
      <rPr>
        <i/>
        <vertAlign val="subscript"/>
        <sz val="16"/>
        <color theme="0"/>
        <rFont val="Calibri"/>
        <family val="2"/>
        <scheme val="minor"/>
      </rPr>
      <t>c</t>
    </r>
    <r>
      <rPr>
        <i/>
        <sz val="16"/>
        <color theme="0"/>
        <rFont val="Calibri"/>
        <family val="2"/>
        <scheme val="minor"/>
      </rPr>
      <t xml:space="preserve"> </t>
    </r>
  </si>
  <si>
    <r>
      <t>p</t>
    </r>
    <r>
      <rPr>
        <i/>
        <vertAlign val="subscript"/>
        <sz val="16"/>
        <color theme="0"/>
        <rFont val="Calibri"/>
        <family val="2"/>
        <scheme val="minor"/>
      </rPr>
      <t>e</t>
    </r>
  </si>
  <si>
    <t>p(X&gt;10000)</t>
  </si>
  <si>
    <t>p(X&lt;1000)</t>
  </si>
  <si>
    <t>p(10000&lt;x&lt;11000)</t>
  </si>
  <si>
    <r>
      <t>p</t>
    </r>
    <r>
      <rPr>
        <i/>
        <vertAlign val="subscript"/>
        <sz val="16"/>
        <color theme="0"/>
        <rFont val="Calibri"/>
        <family val="2"/>
        <scheme val="minor"/>
      </rPr>
      <t>d</t>
    </r>
    <r>
      <rPr>
        <i/>
        <sz val="16"/>
        <color theme="0"/>
        <rFont val="Calibri"/>
        <family val="2"/>
        <scheme val="minor"/>
      </rPr>
      <t xml:space="preserve"> </t>
    </r>
  </si>
  <si>
    <t xml:space="preserve">pd </t>
  </si>
  <si>
    <t>P(10000&lt;X&lt;11000|X&gt;10000)</t>
  </si>
  <si>
    <t>X: peso en kg de un habitante-&gt;N</t>
  </si>
  <si>
    <t>kg</t>
  </si>
  <si>
    <t>Y:Personas con peso entre 60 y 75 -&gt;B(7,p)</t>
  </si>
  <si>
    <t>P(60&lt;X&lt;75)</t>
  </si>
  <si>
    <t>P(Y=4)</t>
  </si>
  <si>
    <t>1-P(60&lt;X&lt;75)</t>
  </si>
  <si>
    <t>q</t>
  </si>
  <si>
    <t>E</t>
  </si>
  <si>
    <t>p(X&gt;80)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</si>
</sst>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2" x14ac:knownFonts="1">
    <font>
      <sz val="11"/>
      <color theme="1"/>
      <name val="Calibri"/>
      <family val="2"/>
      <scheme val="minor"/>
    </font>
    <font>
      <sz val="11"/>
      <color theme="1"/>
      <name val="Calibri"/>
      <family val="2"/>
      <scheme val="minor"/>
    </font>
    <font>
      <b/>
      <sz val="11"/>
      <color rgb="FF3F3F3F"/>
      <name val="Calibri"/>
      <family val="2"/>
      <scheme val="minor"/>
    </font>
    <font>
      <sz val="11"/>
      <color theme="0"/>
      <name val="Calibri"/>
      <family val="2"/>
      <scheme val="minor"/>
    </font>
    <font>
      <sz val="16"/>
      <color theme="0"/>
      <name val="Aptos Narrow"/>
      <family val="2"/>
    </font>
    <font>
      <sz val="16"/>
      <color theme="1"/>
      <name val="Calibri"/>
      <family val="2"/>
      <scheme val="minor"/>
    </font>
    <font>
      <b/>
      <sz val="16"/>
      <color rgb="FF3F3F3F"/>
      <name val="Calibri"/>
      <family val="2"/>
      <scheme val="minor"/>
    </font>
    <font>
      <b/>
      <vertAlign val="superscript"/>
      <sz val="16"/>
      <color rgb="FF3F3F3F"/>
      <name val="Calibri"/>
      <family val="2"/>
      <scheme val="minor"/>
    </font>
    <font>
      <vertAlign val="subscript"/>
      <sz val="16"/>
      <color theme="0"/>
      <name val="Aptos Narrow"/>
      <family val="2"/>
    </font>
    <font>
      <sz val="8"/>
      <name val="Calibri"/>
      <family val="2"/>
      <scheme val="minor"/>
    </font>
    <font>
      <i/>
      <sz val="16"/>
      <color theme="0"/>
      <name val="Calibri"/>
      <family val="2"/>
      <scheme val="minor"/>
    </font>
    <font>
      <i/>
      <vertAlign val="subscript"/>
      <sz val="16"/>
      <color theme="0"/>
      <name val="Calibri"/>
      <family val="2"/>
      <scheme val="minor"/>
    </font>
  </fonts>
  <fills count="5">
    <fill>
      <patternFill patternType="none"/>
    </fill>
    <fill>
      <patternFill patternType="gray125"/>
    </fill>
    <fill>
      <patternFill patternType="solid">
        <fgColor rgb="FFF2F2F2"/>
      </patternFill>
    </fill>
    <fill>
      <patternFill patternType="solid">
        <fgColor theme="4"/>
      </patternFill>
    </fill>
    <fill>
      <patternFill patternType="solid">
        <fgColor theme="5" tint="0.79998168889431442"/>
        <bgColor indexed="65"/>
      </patternFill>
    </fill>
  </fills>
  <borders count="3">
    <border>
      <left/>
      <right/>
      <top/>
      <bottom/>
      <diagonal/>
    </border>
    <border>
      <left style="thin">
        <color rgb="FF3F3F3F"/>
      </left>
      <right style="thin">
        <color rgb="FF3F3F3F"/>
      </right>
      <top style="thin">
        <color rgb="FF3F3F3F"/>
      </top>
      <bottom style="thin">
        <color rgb="FF3F3F3F"/>
      </bottom>
      <diagonal/>
    </border>
    <border>
      <left/>
      <right/>
      <top/>
      <bottom style="double">
        <color theme="4"/>
      </bottom>
      <diagonal/>
    </border>
  </borders>
  <cellStyleXfs count="4">
    <xf numFmtId="0" fontId="0" fillId="0" borderId="0"/>
    <xf numFmtId="0" fontId="2" fillId="2" borderId="1" applyNumberFormat="0" applyAlignment="0" applyProtection="0"/>
    <xf numFmtId="0" fontId="3" fillId="3" borderId="0" applyNumberFormat="0" applyBorder="0" applyAlignment="0" applyProtection="0"/>
    <xf numFmtId="0" fontId="1" fillId="4" borderId="0" applyNumberFormat="0" applyBorder="0" applyAlignment="0" applyProtection="0"/>
  </cellStyleXfs>
  <cellXfs count="14">
    <xf numFmtId="0" fontId="0" fillId="0" borderId="0" xfId="0"/>
    <xf numFmtId="0" fontId="4" fillId="3" borderId="0" xfId="2" applyFont="1" applyAlignment="1">
      <alignment horizontal="left"/>
    </xf>
    <xf numFmtId="0" fontId="5" fillId="4" borderId="0" xfId="3" applyNumberFormat="1" applyFont="1" applyAlignment="1">
      <alignment horizontal="center"/>
    </xf>
    <xf numFmtId="0" fontId="6" fillId="2" borderId="1" xfId="1" applyFont="1"/>
    <xf numFmtId="0" fontId="5" fillId="0" borderId="0" xfId="0" applyFont="1"/>
    <xf numFmtId="9" fontId="6" fillId="2" borderId="1" xfId="1" applyNumberFormat="1" applyFont="1"/>
    <xf numFmtId="0" fontId="5" fillId="0" borderId="2" xfId="0" applyFont="1" applyBorder="1"/>
    <xf numFmtId="9" fontId="6" fillId="2" borderId="1" xfId="1" applyNumberFormat="1" applyFont="1" applyAlignment="1">
      <alignment horizontal="right"/>
    </xf>
    <xf numFmtId="0" fontId="6" fillId="2" borderId="1" xfId="1" applyNumberFormat="1" applyFont="1"/>
    <xf numFmtId="164" fontId="5" fillId="4" borderId="0" xfId="3" applyNumberFormat="1" applyFont="1" applyAlignment="1">
      <alignment horizontal="center"/>
    </xf>
    <xf numFmtId="164" fontId="5" fillId="0" borderId="0" xfId="0" applyNumberFormat="1" applyFont="1"/>
    <xf numFmtId="0" fontId="10" fillId="3" borderId="0" xfId="2" applyFont="1" applyAlignment="1"/>
    <xf numFmtId="0" fontId="5" fillId="4" borderId="0" xfId="3" applyFont="1" applyAlignment="1"/>
    <xf numFmtId="0" fontId="5" fillId="4" borderId="0" xfId="3" applyNumberFormat="1" applyFont="1" applyAlignment="1">
      <alignment horizontal="center"/>
    </xf>
  </cellXfs>
  <cellStyles count="4">
    <cellStyle name="20% - Énfasis2" xfId="3" builtinId="34"/>
    <cellStyle name="Énfasis1" xfId="2" builtinId="29"/>
    <cellStyle name="Normal" xfId="0" builtinId="0"/>
    <cellStyle name="Salida"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46990</xdr:colOff>
      <xdr:row>0</xdr:row>
      <xdr:rowOff>45403</xdr:rowOff>
    </xdr:from>
    <xdr:to>
      <xdr:col>11</xdr:col>
      <xdr:colOff>46990</xdr:colOff>
      <xdr:row>10</xdr:row>
      <xdr:rowOff>33338</xdr:rowOff>
    </xdr:to>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29316A72-E797-8DEF-8207-83D3A55266ED}"/>
                </a:ext>
              </a:extLst>
            </xdr:cNvPr>
            <xdr:cNvSpPr txBox="1"/>
          </xdr:nvSpPr>
          <xdr:spPr>
            <a:xfrm>
              <a:off x="46990" y="45403"/>
              <a:ext cx="7786688" cy="1892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solidFill>
                    <a:schemeClr val="dk1"/>
                  </a:solidFill>
                  <a:effectLst/>
                  <a:latin typeface="+mn-lt"/>
                  <a:ea typeface="+mn-ea"/>
                  <a:cs typeface="+mn-cs"/>
                </a:rPr>
                <a:t>6-2</a:t>
              </a:r>
              <a:r>
                <a:rPr lang="es-ES" sz="1100">
                  <a:solidFill>
                    <a:schemeClr val="dk1"/>
                  </a:solidFill>
                  <a:effectLst/>
                  <a:latin typeface="+mn-lt"/>
                  <a:ea typeface="+mn-ea"/>
                  <a:cs typeface="+mn-cs"/>
                </a:rPr>
                <a:t> Sea X una variable aleatoria </a:t>
              </a:r>
              <a14:m>
                <m:oMath xmlns:m="http://schemas.openxmlformats.org/officeDocument/2006/math">
                  <m:r>
                    <a:rPr lang="es-ES" sz="1100" i="1">
                      <a:solidFill>
                        <a:schemeClr val="dk1"/>
                      </a:solidFill>
                      <a:effectLst/>
                      <a:latin typeface="Cambria Math" panose="02040503050406030204" pitchFamily="18" charset="0"/>
                      <a:ea typeface="+mn-ea"/>
                      <a:cs typeface="+mn-cs"/>
                    </a:rPr>
                    <m:t>𝑁</m:t>
                  </m:r>
                  <m:d>
                    <m:dPr>
                      <m:ctrlPr>
                        <a:rPr lang="es-ES" sz="1100" i="1">
                          <a:solidFill>
                            <a:schemeClr val="dk1"/>
                          </a:solidFill>
                          <a:effectLst/>
                          <a:latin typeface="Cambria Math" panose="02040503050406030204" pitchFamily="18" charset="0"/>
                          <a:ea typeface="+mn-ea"/>
                          <a:cs typeface="+mn-cs"/>
                        </a:rPr>
                      </m:ctrlPr>
                    </m:dPr>
                    <m:e>
                      <m:r>
                        <a:rPr lang="es-ES" sz="1100" i="1">
                          <a:solidFill>
                            <a:schemeClr val="dk1"/>
                          </a:solidFill>
                          <a:effectLst/>
                          <a:latin typeface="Cambria Math" panose="02040503050406030204" pitchFamily="18" charset="0"/>
                          <a:ea typeface="+mn-ea"/>
                          <a:cs typeface="+mn-cs"/>
                        </a:rPr>
                        <m:t>0, 1</m:t>
                      </m:r>
                    </m:e>
                  </m:d>
                </m:oMath>
              </a14:m>
              <a:r>
                <a:rPr lang="es-ES" sz="1100">
                  <a:solidFill>
                    <a:schemeClr val="dk1"/>
                  </a:solidFill>
                  <a:effectLst/>
                  <a:latin typeface="+mn-lt"/>
                  <a:ea typeface="+mn-ea"/>
                  <a:cs typeface="+mn-cs"/>
                </a:rPr>
                <a:t>. Calcular las siguientes probabilidades:</a:t>
              </a:r>
            </a:p>
            <a:p>
              <a:r>
                <a:rPr lang="es-ES" sz="1100">
                  <a:solidFill>
                    <a:schemeClr val="dk1"/>
                  </a:solidFill>
                  <a:effectLst/>
                  <a:latin typeface="+mn-lt"/>
                  <a:ea typeface="+mn-ea"/>
                  <a:cs typeface="+mn-cs"/>
                </a:rPr>
                <a:t> </a:t>
              </a:r>
            </a:p>
            <a:p>
              <a:r>
                <a:rPr lang="es-ES" sz="1100">
                  <a:solidFill>
                    <a:schemeClr val="dk1"/>
                  </a:solidFill>
                  <a:effectLst/>
                  <a:latin typeface="+mn-lt"/>
                  <a:ea typeface="+mn-ea"/>
                  <a:cs typeface="+mn-cs"/>
                </a:rPr>
                <a:t>a)	</a:t>
              </a:r>
              <a14:m>
                <m:oMath xmlns:m="http://schemas.openxmlformats.org/officeDocument/2006/math">
                  <m:r>
                    <a:rPr lang="es-ES"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es-ES" sz="1100" i="1">
                          <a:solidFill>
                            <a:schemeClr val="dk1"/>
                          </a:solidFill>
                          <a:effectLst/>
                          <a:latin typeface="Cambria Math" panose="02040503050406030204" pitchFamily="18" charset="0"/>
                          <a:ea typeface="+mn-ea"/>
                          <a:cs typeface="+mn-cs"/>
                        </a:rPr>
                        <m:t>0≤</m:t>
                      </m:r>
                      <m:r>
                        <a:rPr lang="es-ES" sz="1100" i="1">
                          <a:solidFill>
                            <a:schemeClr val="dk1"/>
                          </a:solidFill>
                          <a:effectLst/>
                          <a:latin typeface="Cambria Math" panose="02040503050406030204" pitchFamily="18" charset="0"/>
                          <a:ea typeface="+mn-ea"/>
                          <a:cs typeface="+mn-cs"/>
                        </a:rPr>
                        <m:t>𝑋</m:t>
                      </m:r>
                      <m:r>
                        <a:rPr lang="es-ES" sz="1100" i="1">
                          <a:solidFill>
                            <a:schemeClr val="dk1"/>
                          </a:solidFill>
                          <a:effectLst/>
                          <a:latin typeface="Cambria Math" panose="02040503050406030204" pitchFamily="18" charset="0"/>
                          <a:ea typeface="+mn-ea"/>
                          <a:cs typeface="+mn-cs"/>
                        </a:rPr>
                        <m:t>≤1.42</m:t>
                      </m:r>
                    </m:e>
                  </m:d>
                </m:oMath>
              </a14:m>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b)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de-LU" sz="1100" i="1">
                          <a:solidFill>
                            <a:schemeClr val="dk1"/>
                          </a:solidFill>
                          <a:effectLst/>
                          <a:latin typeface="Cambria Math" panose="02040503050406030204" pitchFamily="18" charset="0"/>
                          <a:ea typeface="+mn-ea"/>
                          <a:cs typeface="+mn-cs"/>
                        </a:rPr>
                        <m:t>−0.73≤</m:t>
                      </m:r>
                      <m:r>
                        <a:rPr lang="es-ES_tradnl" sz="1100" i="1">
                          <a:solidFill>
                            <a:schemeClr val="dk1"/>
                          </a:solidFill>
                          <a:effectLst/>
                          <a:latin typeface="Cambria Math" panose="02040503050406030204" pitchFamily="18" charset="0"/>
                          <a:ea typeface="+mn-ea"/>
                          <a:cs typeface="+mn-cs"/>
                        </a:rPr>
                        <m:t>𝑋</m:t>
                      </m:r>
                      <m:r>
                        <a:rPr lang="de-LU" sz="1100" i="1">
                          <a:solidFill>
                            <a:schemeClr val="dk1"/>
                          </a:solidFill>
                          <a:effectLst/>
                          <a:latin typeface="Cambria Math" panose="02040503050406030204" pitchFamily="18" charset="0"/>
                          <a:ea typeface="+mn-ea"/>
                          <a:cs typeface="+mn-cs"/>
                        </a:rPr>
                        <m:t>≤0</m:t>
                      </m:r>
                    </m:e>
                  </m:d>
                </m:oMath>
              </a14:m>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c)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de-LU" sz="1100" i="1">
                          <a:solidFill>
                            <a:schemeClr val="dk1"/>
                          </a:solidFill>
                          <a:effectLst/>
                          <a:latin typeface="Cambria Math" panose="02040503050406030204" pitchFamily="18" charset="0"/>
                          <a:ea typeface="+mn-ea"/>
                          <a:cs typeface="+mn-cs"/>
                        </a:rPr>
                        <m:t>−1.37≤</m:t>
                      </m:r>
                      <m:r>
                        <a:rPr lang="es-ES_tradnl" sz="1100" i="1">
                          <a:solidFill>
                            <a:schemeClr val="dk1"/>
                          </a:solidFill>
                          <a:effectLst/>
                          <a:latin typeface="Cambria Math" panose="02040503050406030204" pitchFamily="18" charset="0"/>
                          <a:ea typeface="+mn-ea"/>
                          <a:cs typeface="+mn-cs"/>
                        </a:rPr>
                        <m:t>𝑋</m:t>
                      </m:r>
                      <m:r>
                        <a:rPr lang="de-LU" sz="1100" i="1">
                          <a:solidFill>
                            <a:schemeClr val="dk1"/>
                          </a:solidFill>
                          <a:effectLst/>
                          <a:latin typeface="Cambria Math" panose="02040503050406030204" pitchFamily="18" charset="0"/>
                          <a:ea typeface="+mn-ea"/>
                          <a:cs typeface="+mn-cs"/>
                        </a:rPr>
                        <m:t>≤2.01</m:t>
                      </m:r>
                    </m:e>
                  </m:d>
                </m:oMath>
              </a14:m>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d)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de-LU" sz="1100" i="1">
                          <a:solidFill>
                            <a:schemeClr val="dk1"/>
                          </a:solidFill>
                          <a:effectLst/>
                          <a:latin typeface="Cambria Math" panose="02040503050406030204" pitchFamily="18" charset="0"/>
                          <a:ea typeface="+mn-ea"/>
                          <a:cs typeface="+mn-cs"/>
                        </a:rPr>
                        <m:t>0.65≤</m:t>
                      </m:r>
                      <m:r>
                        <a:rPr lang="es-ES_tradnl" sz="1100" i="1">
                          <a:solidFill>
                            <a:schemeClr val="dk1"/>
                          </a:solidFill>
                          <a:effectLst/>
                          <a:latin typeface="Cambria Math" panose="02040503050406030204" pitchFamily="18" charset="0"/>
                          <a:ea typeface="+mn-ea"/>
                          <a:cs typeface="+mn-cs"/>
                        </a:rPr>
                        <m:t>𝑋</m:t>
                      </m:r>
                      <m:r>
                        <a:rPr lang="de-LU" sz="1100" i="1">
                          <a:solidFill>
                            <a:schemeClr val="dk1"/>
                          </a:solidFill>
                          <a:effectLst/>
                          <a:latin typeface="Cambria Math" panose="02040503050406030204" pitchFamily="18" charset="0"/>
                          <a:ea typeface="+mn-ea"/>
                          <a:cs typeface="+mn-cs"/>
                        </a:rPr>
                        <m:t>≤1.26</m:t>
                      </m:r>
                    </m:e>
                  </m:d>
                </m:oMath>
              </a14:m>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e)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de-LU" sz="1100" i="1">
                          <a:solidFill>
                            <a:schemeClr val="dk1"/>
                          </a:solidFill>
                          <a:effectLst/>
                          <a:latin typeface="Cambria Math" panose="02040503050406030204" pitchFamily="18" charset="0"/>
                          <a:ea typeface="+mn-ea"/>
                          <a:cs typeface="+mn-cs"/>
                        </a:rPr>
                        <m:t>−1.79≤</m:t>
                      </m:r>
                      <m:r>
                        <a:rPr lang="es-ES_tradnl" sz="1100" i="1">
                          <a:solidFill>
                            <a:schemeClr val="dk1"/>
                          </a:solidFill>
                          <a:effectLst/>
                          <a:latin typeface="Cambria Math" panose="02040503050406030204" pitchFamily="18" charset="0"/>
                          <a:ea typeface="+mn-ea"/>
                          <a:cs typeface="+mn-cs"/>
                        </a:rPr>
                        <m:t>𝑋</m:t>
                      </m:r>
                      <m:r>
                        <a:rPr lang="de-LU" sz="1100" i="1">
                          <a:solidFill>
                            <a:schemeClr val="dk1"/>
                          </a:solidFill>
                          <a:effectLst/>
                          <a:latin typeface="Cambria Math" panose="02040503050406030204" pitchFamily="18" charset="0"/>
                          <a:ea typeface="+mn-ea"/>
                          <a:cs typeface="+mn-cs"/>
                        </a:rPr>
                        <m:t>≤−0.54</m:t>
                      </m:r>
                    </m:e>
                  </m:d>
                </m:oMath>
              </a14:m>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f)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r>
                        <a:rPr lang="es-ES_tradnl" sz="1100" i="1">
                          <a:solidFill>
                            <a:schemeClr val="dk1"/>
                          </a:solidFill>
                          <a:effectLst/>
                          <a:latin typeface="Cambria Math" panose="02040503050406030204" pitchFamily="18" charset="0"/>
                          <a:ea typeface="+mn-ea"/>
                          <a:cs typeface="+mn-cs"/>
                        </a:rPr>
                        <m:t>𝑋</m:t>
                      </m:r>
                      <m:r>
                        <a:rPr lang="es-ES_tradnl" sz="1100" i="1">
                          <a:solidFill>
                            <a:schemeClr val="dk1"/>
                          </a:solidFill>
                          <a:effectLst/>
                          <a:latin typeface="Cambria Math" panose="02040503050406030204" pitchFamily="18" charset="0"/>
                          <a:ea typeface="+mn-ea"/>
                          <a:cs typeface="+mn-cs"/>
                        </a:rPr>
                        <m:t>≥1.13</m:t>
                      </m:r>
                    </m:e>
                  </m:d>
                </m:oMath>
              </a14:m>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g)	</a:t>
              </a:r>
              <a14:m>
                <m:oMath xmlns:m="http://schemas.openxmlformats.org/officeDocument/2006/math">
                  <m:r>
                    <a:rPr lang="es-ES_tradnl" sz="1100" i="1">
                      <a:solidFill>
                        <a:schemeClr val="dk1"/>
                      </a:solidFill>
                      <a:effectLst/>
                      <a:latin typeface="Cambria Math" panose="02040503050406030204" pitchFamily="18" charset="0"/>
                      <a:ea typeface="+mn-ea"/>
                      <a:cs typeface="+mn-cs"/>
                    </a:rPr>
                    <m:t>𝑃</m:t>
                  </m:r>
                  <m:d>
                    <m:dPr>
                      <m:ctrlPr>
                        <a:rPr lang="es-ES" sz="1100" i="1">
                          <a:solidFill>
                            <a:schemeClr val="dk1"/>
                          </a:solidFill>
                          <a:effectLst/>
                          <a:latin typeface="Cambria Math" panose="02040503050406030204" pitchFamily="18" charset="0"/>
                          <a:ea typeface="+mn-ea"/>
                          <a:cs typeface="+mn-cs"/>
                        </a:rPr>
                      </m:ctrlPr>
                    </m:dPr>
                    <m:e>
                      <m:d>
                        <m:dPr>
                          <m:begChr m:val="|"/>
                          <m:endChr m:val="|"/>
                          <m:ctrlPr>
                            <a:rPr lang="es-ES" sz="1100" i="1">
                              <a:solidFill>
                                <a:schemeClr val="dk1"/>
                              </a:solidFill>
                              <a:effectLst/>
                              <a:latin typeface="Cambria Math" panose="02040503050406030204" pitchFamily="18" charset="0"/>
                              <a:ea typeface="+mn-ea"/>
                              <a:cs typeface="+mn-cs"/>
                            </a:rPr>
                          </m:ctrlPr>
                        </m:dPr>
                        <m:e>
                          <m:r>
                            <a:rPr lang="es-ES_tradnl" sz="1100" i="1">
                              <a:solidFill>
                                <a:schemeClr val="dk1"/>
                              </a:solidFill>
                              <a:effectLst/>
                              <a:latin typeface="Cambria Math" panose="02040503050406030204" pitchFamily="18" charset="0"/>
                              <a:ea typeface="+mn-ea"/>
                              <a:cs typeface="+mn-cs"/>
                            </a:rPr>
                            <m:t>𝑋</m:t>
                          </m:r>
                        </m:e>
                      </m:d>
                      <m:r>
                        <a:rPr lang="es-ES_tradnl" sz="1100" i="1">
                          <a:solidFill>
                            <a:schemeClr val="dk1"/>
                          </a:solidFill>
                          <a:effectLst/>
                          <a:latin typeface="Cambria Math" panose="02040503050406030204" pitchFamily="18" charset="0"/>
                          <a:ea typeface="+mn-ea"/>
                          <a:cs typeface="+mn-cs"/>
                        </a:rPr>
                        <m:t>≤0.5</m:t>
                      </m:r>
                    </m:e>
                  </m:d>
                </m:oMath>
              </a14:m>
              <a:endParaRPr lang="es-ES" sz="1100">
                <a:solidFill>
                  <a:schemeClr val="dk1"/>
                </a:solidFill>
                <a:effectLst/>
                <a:latin typeface="+mn-lt"/>
                <a:ea typeface="+mn-ea"/>
                <a:cs typeface="+mn-cs"/>
              </a:endParaRPr>
            </a:p>
            <a:p>
              <a:endParaRPr lang="es-ES" sz="1100"/>
            </a:p>
          </xdr:txBody>
        </xdr:sp>
      </mc:Choice>
      <mc:Fallback xmlns="">
        <xdr:sp macro="" textlink="">
          <xdr:nvSpPr>
            <xdr:cNvPr id="3" name="CuadroTexto 2">
              <a:extLst>
                <a:ext uri="{FF2B5EF4-FFF2-40B4-BE49-F238E27FC236}">
                  <a16:creationId xmlns:a16="http://schemas.microsoft.com/office/drawing/2014/main" id="{29316A72-E797-8DEF-8207-83D3A55266ED}"/>
                </a:ext>
              </a:extLst>
            </xdr:cNvPr>
            <xdr:cNvSpPr txBox="1"/>
          </xdr:nvSpPr>
          <xdr:spPr>
            <a:xfrm>
              <a:off x="46990" y="45403"/>
              <a:ext cx="7786688" cy="1892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solidFill>
                    <a:schemeClr val="dk1"/>
                  </a:solidFill>
                  <a:effectLst/>
                  <a:latin typeface="+mn-lt"/>
                  <a:ea typeface="+mn-ea"/>
                  <a:cs typeface="+mn-cs"/>
                </a:rPr>
                <a:t>6-2</a:t>
              </a:r>
              <a:r>
                <a:rPr lang="es-ES" sz="1100">
                  <a:solidFill>
                    <a:schemeClr val="dk1"/>
                  </a:solidFill>
                  <a:effectLst/>
                  <a:latin typeface="+mn-lt"/>
                  <a:ea typeface="+mn-ea"/>
                  <a:cs typeface="+mn-cs"/>
                </a:rPr>
                <a:t> Sea X una variable aleatoria </a:t>
              </a:r>
              <a:r>
                <a:rPr lang="es-ES" sz="1100" i="0">
                  <a:solidFill>
                    <a:schemeClr val="dk1"/>
                  </a:solidFill>
                  <a:effectLst/>
                  <a:latin typeface="+mn-lt"/>
                  <a:ea typeface="+mn-ea"/>
                  <a:cs typeface="+mn-cs"/>
                </a:rPr>
                <a:t>𝑁(0, 1)</a:t>
              </a:r>
              <a:r>
                <a:rPr lang="es-ES" sz="1100">
                  <a:solidFill>
                    <a:schemeClr val="dk1"/>
                  </a:solidFill>
                  <a:effectLst/>
                  <a:latin typeface="+mn-lt"/>
                  <a:ea typeface="+mn-ea"/>
                  <a:cs typeface="+mn-cs"/>
                </a:rPr>
                <a:t>. Calcular las siguientes probabilidades:</a:t>
              </a:r>
            </a:p>
            <a:p>
              <a:r>
                <a:rPr lang="es-ES" sz="1100">
                  <a:solidFill>
                    <a:schemeClr val="dk1"/>
                  </a:solidFill>
                  <a:effectLst/>
                  <a:latin typeface="+mn-lt"/>
                  <a:ea typeface="+mn-ea"/>
                  <a:cs typeface="+mn-cs"/>
                </a:rPr>
                <a:t> </a:t>
              </a:r>
            </a:p>
            <a:p>
              <a:r>
                <a:rPr lang="es-ES" sz="1100">
                  <a:solidFill>
                    <a:schemeClr val="dk1"/>
                  </a:solidFill>
                  <a:effectLst/>
                  <a:latin typeface="+mn-lt"/>
                  <a:ea typeface="+mn-ea"/>
                  <a:cs typeface="+mn-cs"/>
                </a:rPr>
                <a:t>a)	</a:t>
              </a:r>
              <a:r>
                <a:rPr lang="es-ES" sz="1100" i="0">
                  <a:solidFill>
                    <a:schemeClr val="dk1"/>
                  </a:solidFill>
                  <a:effectLst/>
                  <a:latin typeface="+mn-lt"/>
                  <a:ea typeface="+mn-ea"/>
                  <a:cs typeface="+mn-cs"/>
                </a:rPr>
                <a:t>𝑃(0≤𝑋≤1.42)</a:t>
              </a:r>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b)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de-LU" sz="1100" i="0">
                  <a:solidFill>
                    <a:schemeClr val="dk1"/>
                  </a:solidFill>
                  <a:effectLst/>
                  <a:latin typeface="+mn-lt"/>
                  <a:ea typeface="+mn-ea"/>
                  <a:cs typeface="+mn-cs"/>
                </a:rPr>
                <a:t>−0.73≤</a:t>
              </a:r>
              <a:r>
                <a:rPr lang="es-ES_tradnl" sz="1100" i="0">
                  <a:solidFill>
                    <a:schemeClr val="dk1"/>
                  </a:solidFill>
                  <a:effectLst/>
                  <a:latin typeface="+mn-lt"/>
                  <a:ea typeface="+mn-ea"/>
                  <a:cs typeface="+mn-cs"/>
                </a:rPr>
                <a:t>𝑋</a:t>
              </a:r>
              <a:r>
                <a:rPr lang="de-LU" sz="1100" i="0">
                  <a:solidFill>
                    <a:schemeClr val="dk1"/>
                  </a:solidFill>
                  <a:effectLst/>
                  <a:latin typeface="+mn-lt"/>
                  <a:ea typeface="+mn-ea"/>
                  <a:cs typeface="+mn-cs"/>
                </a:rPr>
                <a:t>≤0)</a:t>
              </a:r>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c)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de-LU" sz="1100" i="0">
                  <a:solidFill>
                    <a:schemeClr val="dk1"/>
                  </a:solidFill>
                  <a:effectLst/>
                  <a:latin typeface="+mn-lt"/>
                  <a:ea typeface="+mn-ea"/>
                  <a:cs typeface="+mn-cs"/>
                </a:rPr>
                <a:t>−1.37≤</a:t>
              </a:r>
              <a:r>
                <a:rPr lang="es-ES_tradnl" sz="1100" i="0">
                  <a:solidFill>
                    <a:schemeClr val="dk1"/>
                  </a:solidFill>
                  <a:effectLst/>
                  <a:latin typeface="+mn-lt"/>
                  <a:ea typeface="+mn-ea"/>
                  <a:cs typeface="+mn-cs"/>
                </a:rPr>
                <a:t>𝑋</a:t>
              </a:r>
              <a:r>
                <a:rPr lang="de-LU" sz="1100" i="0">
                  <a:solidFill>
                    <a:schemeClr val="dk1"/>
                  </a:solidFill>
                  <a:effectLst/>
                  <a:latin typeface="+mn-lt"/>
                  <a:ea typeface="+mn-ea"/>
                  <a:cs typeface="+mn-cs"/>
                </a:rPr>
                <a:t>≤2.01)</a:t>
              </a:r>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d)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de-LU" sz="1100" i="0">
                  <a:solidFill>
                    <a:schemeClr val="dk1"/>
                  </a:solidFill>
                  <a:effectLst/>
                  <a:latin typeface="+mn-lt"/>
                  <a:ea typeface="+mn-ea"/>
                  <a:cs typeface="+mn-cs"/>
                </a:rPr>
                <a:t>0.65≤</a:t>
              </a:r>
              <a:r>
                <a:rPr lang="es-ES_tradnl" sz="1100" i="0">
                  <a:solidFill>
                    <a:schemeClr val="dk1"/>
                  </a:solidFill>
                  <a:effectLst/>
                  <a:latin typeface="+mn-lt"/>
                  <a:ea typeface="+mn-ea"/>
                  <a:cs typeface="+mn-cs"/>
                </a:rPr>
                <a:t>𝑋</a:t>
              </a:r>
              <a:r>
                <a:rPr lang="de-LU" sz="1100" i="0">
                  <a:solidFill>
                    <a:schemeClr val="dk1"/>
                  </a:solidFill>
                  <a:effectLst/>
                  <a:latin typeface="+mn-lt"/>
                  <a:ea typeface="+mn-ea"/>
                  <a:cs typeface="+mn-cs"/>
                </a:rPr>
                <a:t>≤1.26)</a:t>
              </a:r>
              <a:endParaRPr lang="es-ES" sz="1100">
                <a:solidFill>
                  <a:schemeClr val="dk1"/>
                </a:solidFill>
                <a:effectLst/>
                <a:latin typeface="+mn-lt"/>
                <a:ea typeface="+mn-ea"/>
                <a:cs typeface="+mn-cs"/>
              </a:endParaRPr>
            </a:p>
            <a:p>
              <a:r>
                <a:rPr lang="de-LU" sz="1100">
                  <a:solidFill>
                    <a:schemeClr val="dk1"/>
                  </a:solidFill>
                  <a:effectLst/>
                  <a:latin typeface="+mn-lt"/>
                  <a:ea typeface="+mn-ea"/>
                  <a:cs typeface="+mn-cs"/>
                </a:rPr>
                <a:t>e)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de-LU" sz="1100" i="0">
                  <a:solidFill>
                    <a:schemeClr val="dk1"/>
                  </a:solidFill>
                  <a:effectLst/>
                  <a:latin typeface="+mn-lt"/>
                  <a:ea typeface="+mn-ea"/>
                  <a:cs typeface="+mn-cs"/>
                </a:rPr>
                <a:t>−1.79≤</a:t>
              </a:r>
              <a:r>
                <a:rPr lang="es-ES_tradnl" sz="1100" i="0">
                  <a:solidFill>
                    <a:schemeClr val="dk1"/>
                  </a:solidFill>
                  <a:effectLst/>
                  <a:latin typeface="+mn-lt"/>
                  <a:ea typeface="+mn-ea"/>
                  <a:cs typeface="+mn-cs"/>
                </a:rPr>
                <a:t>𝑋</a:t>
              </a:r>
              <a:r>
                <a:rPr lang="de-LU" sz="1100" i="0">
                  <a:solidFill>
                    <a:schemeClr val="dk1"/>
                  </a:solidFill>
                  <a:effectLst/>
                  <a:latin typeface="+mn-lt"/>
                  <a:ea typeface="+mn-ea"/>
                  <a:cs typeface="+mn-cs"/>
                </a:rPr>
                <a:t>≤−0.54)</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f)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es-ES_tradnl" sz="1100" i="0">
                  <a:solidFill>
                    <a:schemeClr val="dk1"/>
                  </a:solidFill>
                  <a:effectLst/>
                  <a:latin typeface="+mn-lt"/>
                  <a:ea typeface="+mn-ea"/>
                  <a:cs typeface="+mn-cs"/>
                </a:rPr>
                <a:t>𝑋≥1.13)</a:t>
              </a:r>
              <a:endParaRPr lang="es-ES" sz="1100">
                <a:solidFill>
                  <a:schemeClr val="dk1"/>
                </a:solidFill>
                <a:effectLst/>
                <a:latin typeface="+mn-lt"/>
                <a:ea typeface="+mn-ea"/>
                <a:cs typeface="+mn-cs"/>
              </a:endParaRPr>
            </a:p>
            <a:p>
              <a:r>
                <a:rPr lang="es-ES" sz="1100">
                  <a:solidFill>
                    <a:schemeClr val="dk1"/>
                  </a:solidFill>
                  <a:effectLst/>
                  <a:latin typeface="+mn-lt"/>
                  <a:ea typeface="+mn-ea"/>
                  <a:cs typeface="+mn-cs"/>
                </a:rPr>
                <a:t>g)	</a:t>
              </a:r>
              <a:r>
                <a:rPr lang="es-ES_tradnl" sz="1100" i="0">
                  <a:solidFill>
                    <a:schemeClr val="dk1"/>
                  </a:solidFill>
                  <a:effectLst/>
                  <a:latin typeface="+mn-lt"/>
                  <a:ea typeface="+mn-ea"/>
                  <a:cs typeface="+mn-cs"/>
                </a:rPr>
                <a:t>𝑃</a:t>
              </a:r>
              <a:r>
                <a:rPr lang="es-ES" sz="1100" i="0">
                  <a:solidFill>
                    <a:schemeClr val="dk1"/>
                  </a:solidFill>
                  <a:effectLst/>
                  <a:latin typeface="+mn-lt"/>
                  <a:ea typeface="+mn-ea"/>
                  <a:cs typeface="+mn-cs"/>
                </a:rPr>
                <a:t>(|</a:t>
              </a:r>
              <a:r>
                <a:rPr lang="es-ES_tradnl" sz="1100" i="0">
                  <a:solidFill>
                    <a:schemeClr val="dk1"/>
                  </a:solidFill>
                  <a:effectLst/>
                  <a:latin typeface="+mn-lt"/>
                  <a:ea typeface="+mn-ea"/>
                  <a:cs typeface="+mn-cs"/>
                </a:rPr>
                <a:t>𝑋|≤0.5)</a:t>
              </a:r>
              <a:endParaRPr lang="es-ES" sz="1100">
                <a:solidFill>
                  <a:schemeClr val="dk1"/>
                </a:solidFill>
                <a:effectLst/>
                <a:latin typeface="+mn-lt"/>
                <a:ea typeface="+mn-ea"/>
                <a:cs typeface="+mn-cs"/>
              </a:endParaRPr>
            </a:p>
            <a:p>
              <a:endParaRPr lang="es-ES"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xdr:rowOff>
    </xdr:from>
    <xdr:to>
      <xdr:col>11</xdr:col>
      <xdr:colOff>220345</xdr:colOff>
      <xdr:row>14</xdr:row>
      <xdr:rowOff>183931</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EE44B7A9-7214-4BFE-9915-77EC6BD0A8E7}"/>
                </a:ext>
              </a:extLst>
            </xdr:cNvPr>
            <xdr:cNvSpPr txBox="1"/>
          </xdr:nvSpPr>
          <xdr:spPr>
            <a:xfrm>
              <a:off x="0" y="2"/>
              <a:ext cx="9022759" cy="39361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400" b="1">
                  <a:solidFill>
                    <a:schemeClr val="dk1"/>
                  </a:solidFill>
                  <a:effectLst/>
                  <a:latin typeface="+mn-lt"/>
                  <a:ea typeface="+mn-ea"/>
                  <a:cs typeface="+mn-cs"/>
                </a:rPr>
                <a:t>6-7.</a:t>
              </a:r>
              <a:r>
                <a:rPr lang="es-ES_tradnl" sz="1400">
                  <a:solidFill>
                    <a:schemeClr val="dk1"/>
                  </a:solidFill>
                  <a:effectLst/>
                  <a:latin typeface="+mn-lt"/>
                  <a:ea typeface="+mn-ea"/>
                  <a:cs typeface="+mn-cs"/>
                </a:rPr>
                <a:t> Una factoría produce paquetes de margarina. El peso nominal del contenido de cada paquete es 450 gramos. Sin embargo, debido a fluctuaciones aleatorias en la báscula automática, el peso del contenido de los paquetes varía y se observa que un 10% de los paquetes está por debajo del peso nominal, mientras que un 5% pesa no menos de 457 gramos.</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a)	Calcular la media y la desviación típica de la distribución de los pesos, supuesto que esta distribución es normal.</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La producción diaria de la factoría es de 375000 paquetes y el coste de producción, en c</a:t>
              </a:r>
              <a:r>
                <a:rPr lang="es-ES" sz="1400">
                  <a:solidFill>
                    <a:schemeClr val="dk1"/>
                  </a:solidFill>
                  <a:effectLst/>
                  <a:latin typeface="+mn-lt"/>
                  <a:ea typeface="+mn-ea"/>
                  <a:cs typeface="+mn-cs"/>
                </a:rPr>
                <a:t>éntimos de euro</a:t>
              </a:r>
              <a:r>
                <a:rPr lang="es-ES_tradnl" sz="1400">
                  <a:solidFill>
                    <a:schemeClr val="dk1"/>
                  </a:solidFill>
                  <a:effectLst/>
                  <a:latin typeface="+mn-lt"/>
                  <a:ea typeface="+mn-ea"/>
                  <a:cs typeface="+mn-cs"/>
                </a:rPr>
                <a:t>, de un paquete conteniendo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𝑥</m:t>
                  </m:r>
                </m:oMath>
              </a14:m>
              <a:r>
                <a:rPr lang="es-ES_tradnl" sz="1400">
                  <a:solidFill>
                    <a:schemeClr val="dk1"/>
                  </a:solidFill>
                  <a:effectLst/>
                  <a:latin typeface="+mn-lt"/>
                  <a:ea typeface="+mn-ea"/>
                  <a:cs typeface="+mn-cs"/>
                </a:rPr>
                <a:t> gramos de margarina es: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335+6´8515</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−0´01402</m:t>
                  </m:r>
                  <m:sSup>
                    <m:sSupPr>
                      <m:ctrlPr>
                        <a:rPr lang="es-ES" sz="1400" i="1">
                          <a:solidFill>
                            <a:schemeClr val="dk1"/>
                          </a:solidFill>
                          <a:effectLst/>
                          <a:latin typeface="Cambria Math" panose="02040503050406030204" pitchFamily="18" charset="0"/>
                          <a:ea typeface="+mn-ea"/>
                          <a:cs typeface="+mn-cs"/>
                        </a:rPr>
                      </m:ctrlPr>
                    </m:sSupPr>
                    <m:e>
                      <m:r>
                        <a:rPr lang="es-ES_tradnl" sz="1400" i="1">
                          <a:solidFill>
                            <a:schemeClr val="dk1"/>
                          </a:solidFill>
                          <a:effectLst/>
                          <a:latin typeface="Cambria Math" panose="02040503050406030204" pitchFamily="18" charset="0"/>
                          <a:ea typeface="+mn-ea"/>
                          <a:cs typeface="+mn-cs"/>
                        </a:rPr>
                        <m:t>𝑥</m:t>
                      </m:r>
                    </m:e>
                    <m:sup>
                      <m:r>
                        <a:rPr lang="es-ES_tradnl" sz="1400" i="1">
                          <a:solidFill>
                            <a:schemeClr val="dk1"/>
                          </a:solidFill>
                          <a:effectLst/>
                          <a:latin typeface="Cambria Math" panose="02040503050406030204" pitchFamily="18" charset="0"/>
                          <a:ea typeface="+mn-ea"/>
                          <a:cs typeface="+mn-cs"/>
                        </a:rPr>
                        <m:t>2</m:t>
                      </m:r>
                    </m:sup>
                  </m:sSup>
                </m:oMath>
              </a14:m>
              <a:r>
                <a:rPr lang="es-ES_tradnl" sz="1400">
                  <a:solidFill>
                    <a:schemeClr val="dk1"/>
                  </a:solidFill>
                  <a:effectLst/>
                  <a:latin typeface="+mn-lt"/>
                  <a:ea typeface="+mn-ea"/>
                  <a:cs typeface="+mn-cs"/>
                </a:rPr>
                <a:t>. Debido a un aumento de la demanda mundial de aceites comestibles, el coste de producción de la margarina aumenta. Para compensar una parte de este aumento, el fabricante hace ciertas reducciones en sus gastos básicos y establece controles para disminuir desperdicios. Como resultado de estas medidas, la función de costes pasa a ser: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334´68+6´8705</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−0´01398</m:t>
                  </m:r>
                  <m:sSup>
                    <m:sSupPr>
                      <m:ctrlPr>
                        <a:rPr lang="es-ES" sz="1400" i="1">
                          <a:solidFill>
                            <a:schemeClr val="dk1"/>
                          </a:solidFill>
                          <a:effectLst/>
                          <a:latin typeface="Cambria Math" panose="02040503050406030204" pitchFamily="18" charset="0"/>
                          <a:ea typeface="+mn-ea"/>
                          <a:cs typeface="+mn-cs"/>
                        </a:rPr>
                      </m:ctrlPr>
                    </m:sSupPr>
                    <m:e>
                      <m:r>
                        <a:rPr lang="es-ES_tradnl" sz="1400" i="1">
                          <a:solidFill>
                            <a:schemeClr val="dk1"/>
                          </a:solidFill>
                          <a:effectLst/>
                          <a:latin typeface="Cambria Math" panose="02040503050406030204" pitchFamily="18" charset="0"/>
                          <a:ea typeface="+mn-ea"/>
                          <a:cs typeface="+mn-cs"/>
                        </a:rPr>
                        <m:t>𝑥</m:t>
                      </m:r>
                    </m:e>
                    <m:sup>
                      <m:r>
                        <a:rPr lang="es-ES_tradnl" sz="1400" i="1">
                          <a:solidFill>
                            <a:schemeClr val="dk1"/>
                          </a:solidFill>
                          <a:effectLst/>
                          <a:latin typeface="Cambria Math" panose="02040503050406030204" pitchFamily="18" charset="0"/>
                          <a:ea typeface="+mn-ea"/>
                          <a:cs typeface="+mn-cs"/>
                        </a:rPr>
                        <m:t>2</m:t>
                      </m:r>
                    </m:sup>
                  </m:sSup>
                </m:oMath>
              </a14:m>
              <a:r>
                <a:rPr lang="es-ES_tradnl" sz="1400">
                  <a:solidFill>
                    <a:schemeClr val="dk1"/>
                  </a:solidFill>
                  <a:effectLst/>
                  <a:latin typeface="+mn-lt"/>
                  <a:ea typeface="+mn-ea"/>
                  <a:cs typeface="+mn-cs"/>
                </a:rPr>
                <a:t>. Determinar antes y después de la subida del precio de los aceites:</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b)	El coste medio por paquete.</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c)	El coste medio de la producción diaria.</a:t>
              </a:r>
              <a:endParaRPr lang="es-ES" sz="1400">
                <a:solidFill>
                  <a:schemeClr val="dk1"/>
                </a:solidFill>
                <a:effectLst/>
                <a:latin typeface="+mn-lt"/>
                <a:ea typeface="+mn-ea"/>
                <a:cs typeface="+mn-cs"/>
              </a:endParaRPr>
            </a:p>
            <a:p>
              <a:endParaRPr lang="es-ES" sz="1100"/>
            </a:p>
          </xdr:txBody>
        </xdr:sp>
      </mc:Choice>
      <mc:Fallback xmlns="">
        <xdr:sp macro="" textlink="">
          <xdr:nvSpPr>
            <xdr:cNvPr id="2" name="CuadroTexto 1">
              <a:extLst>
                <a:ext uri="{FF2B5EF4-FFF2-40B4-BE49-F238E27FC236}">
                  <a16:creationId xmlns:a16="http://schemas.microsoft.com/office/drawing/2014/main" id="{EE44B7A9-7214-4BFE-9915-77EC6BD0A8E7}"/>
                </a:ext>
              </a:extLst>
            </xdr:cNvPr>
            <xdr:cNvSpPr txBox="1"/>
          </xdr:nvSpPr>
          <xdr:spPr>
            <a:xfrm>
              <a:off x="0" y="2"/>
              <a:ext cx="9022759" cy="39361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400" b="1">
                  <a:solidFill>
                    <a:schemeClr val="dk1"/>
                  </a:solidFill>
                  <a:effectLst/>
                  <a:latin typeface="+mn-lt"/>
                  <a:ea typeface="+mn-ea"/>
                  <a:cs typeface="+mn-cs"/>
                </a:rPr>
                <a:t>6-7.</a:t>
              </a:r>
              <a:r>
                <a:rPr lang="es-ES_tradnl" sz="1400">
                  <a:solidFill>
                    <a:schemeClr val="dk1"/>
                  </a:solidFill>
                  <a:effectLst/>
                  <a:latin typeface="+mn-lt"/>
                  <a:ea typeface="+mn-ea"/>
                  <a:cs typeface="+mn-cs"/>
                </a:rPr>
                <a:t> Una factoría produce paquetes de margarina. El peso nominal del contenido de cada paquete es 450 gramos. Sin embargo, debido a fluctuaciones aleatorias en la báscula automática, el peso del contenido de los paquetes varía y se observa que un 10% de los paquetes está por debajo del peso nominal, mientras que un 5% pesa no menos de 457 gramos.</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a)	Calcular la media y la desviación típica de la distribución de los pesos, supuesto que esta distribución es normal.</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La producción diaria de la factoría es de 375000 paquetes y el coste de producción, en c</a:t>
              </a:r>
              <a:r>
                <a:rPr lang="es-ES" sz="1400">
                  <a:solidFill>
                    <a:schemeClr val="dk1"/>
                  </a:solidFill>
                  <a:effectLst/>
                  <a:latin typeface="+mn-lt"/>
                  <a:ea typeface="+mn-ea"/>
                  <a:cs typeface="+mn-cs"/>
                </a:rPr>
                <a:t>éntimos de euro</a:t>
              </a:r>
              <a:r>
                <a:rPr lang="es-ES_tradnl" sz="1400">
                  <a:solidFill>
                    <a:schemeClr val="dk1"/>
                  </a:solidFill>
                  <a:effectLst/>
                  <a:latin typeface="+mn-lt"/>
                  <a:ea typeface="+mn-ea"/>
                  <a:cs typeface="+mn-cs"/>
                </a:rPr>
                <a:t>, de un paquete conteniendo </a:t>
              </a:r>
              <a:r>
                <a:rPr lang="es-ES_tradnl" sz="1400" i="0">
                  <a:solidFill>
                    <a:schemeClr val="dk1"/>
                  </a:solidFill>
                  <a:effectLst/>
                  <a:latin typeface="+mn-lt"/>
                  <a:ea typeface="+mn-ea"/>
                  <a:cs typeface="+mn-cs"/>
                </a:rPr>
                <a:t>𝑥</a:t>
              </a:r>
              <a:r>
                <a:rPr lang="es-ES_tradnl" sz="1400">
                  <a:solidFill>
                    <a:schemeClr val="dk1"/>
                  </a:solidFill>
                  <a:effectLst/>
                  <a:latin typeface="+mn-lt"/>
                  <a:ea typeface="+mn-ea"/>
                  <a:cs typeface="+mn-cs"/>
                </a:rPr>
                <a:t> gramos de margarina es: </a:t>
              </a:r>
              <a:r>
                <a:rPr lang="es-ES_tradnl" sz="1400" i="0">
                  <a:solidFill>
                    <a:schemeClr val="dk1"/>
                  </a:solidFill>
                  <a:effectLst/>
                  <a:latin typeface="+mn-lt"/>
                  <a:ea typeface="+mn-ea"/>
                  <a:cs typeface="+mn-cs"/>
                </a:rPr>
                <a:t>335+6´8515𝑥−0´01402𝑥</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a:t>
              </a:r>
              <a:r>
                <a:rPr lang="es-ES_tradnl" sz="1400">
                  <a:solidFill>
                    <a:schemeClr val="dk1"/>
                  </a:solidFill>
                  <a:effectLst/>
                  <a:latin typeface="+mn-lt"/>
                  <a:ea typeface="+mn-ea"/>
                  <a:cs typeface="+mn-cs"/>
                </a:rPr>
                <a:t>. Debido a un aumento de la demanda mundial de aceites comestibles, el coste de producción de la margarina aumenta. Para compensar una parte de este aumento, el fabricante hace ciertas reducciones en sus gastos básicos y establece controles para disminuir desperdicios. Como resultado de estas medidas, la función de costes pasa a ser: </a:t>
              </a:r>
              <a:r>
                <a:rPr lang="es-ES_tradnl" sz="1400" i="0">
                  <a:solidFill>
                    <a:schemeClr val="dk1"/>
                  </a:solidFill>
                  <a:effectLst/>
                  <a:latin typeface="+mn-lt"/>
                  <a:ea typeface="+mn-ea"/>
                  <a:cs typeface="+mn-cs"/>
                </a:rPr>
                <a:t>334´68+6´8705𝑥−0´01398𝑥</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a:t>
              </a:r>
              <a:r>
                <a:rPr lang="es-ES_tradnl" sz="1400">
                  <a:solidFill>
                    <a:schemeClr val="dk1"/>
                  </a:solidFill>
                  <a:effectLst/>
                  <a:latin typeface="+mn-lt"/>
                  <a:ea typeface="+mn-ea"/>
                  <a:cs typeface="+mn-cs"/>
                </a:rPr>
                <a:t>. Determinar antes y después de la subida del precio de los aceites:</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b)	El coste medio por paquete.</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c)	El coste medio de la producción diaria.</a:t>
              </a:r>
              <a:endParaRPr lang="es-ES" sz="1400">
                <a:solidFill>
                  <a:schemeClr val="dk1"/>
                </a:solidFill>
                <a:effectLst/>
                <a:latin typeface="+mn-lt"/>
                <a:ea typeface="+mn-ea"/>
                <a:cs typeface="+mn-cs"/>
              </a:endParaRPr>
            </a:p>
            <a:p>
              <a:endParaRPr lang="es-ES"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6986</xdr:colOff>
      <xdr:row>0</xdr:row>
      <xdr:rowOff>52070</xdr:rowOff>
    </xdr:from>
    <xdr:to>
      <xdr:col>16</xdr:col>
      <xdr:colOff>571501</xdr:colOff>
      <xdr:row>14</xdr:row>
      <xdr:rowOff>175260</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99D6851E-E316-4ED7-BA2D-7968990AE869}"/>
                </a:ext>
              </a:extLst>
            </xdr:cNvPr>
            <xdr:cNvSpPr txBox="1"/>
          </xdr:nvSpPr>
          <xdr:spPr>
            <a:xfrm>
              <a:off x="6986" y="52070"/>
              <a:ext cx="12756515" cy="3856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600" b="1">
                  <a:solidFill>
                    <a:schemeClr val="dk1"/>
                  </a:solidFill>
                  <a:effectLst/>
                  <a:latin typeface="+mn-lt"/>
                  <a:ea typeface="+mn-ea"/>
                  <a:cs typeface="+mn-cs"/>
                </a:rPr>
                <a:t>6-9.</a:t>
              </a:r>
              <a:r>
                <a:rPr lang="es-ES_tradnl" sz="1600">
                  <a:solidFill>
                    <a:schemeClr val="dk1"/>
                  </a:solidFill>
                  <a:effectLst/>
                  <a:latin typeface="+mn-lt"/>
                  <a:ea typeface="+mn-ea"/>
                  <a:cs typeface="+mn-cs"/>
                </a:rPr>
                <a:t> En un proceso de fabricación se obtienen planchas de acero que han de tener un determinado grosor. Debido a las propiedades del material, el comportamiento de las máquinas así como de las herramientas utilizadas el grosor sufre ligeras perturbaciones aleatorias imposibles de predecir. Por ello, el grosor X en milímetros de las placas puede considerarse como una variable aleatoria que, para un determinado ajuste de la línea de producción, puede considerarse que tiene una distribución normal con media 10 mm y desviación típica 0.02 mm. Determinar el porcentaje de placas defectuosas que se esperan obtener suponiendo que las placas defectuosas son:</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a)	placas más delgadas que 9.97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b)	placas más gruesas que 10.05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c)	placas cuyo grosor difiere en más de 0.03 mm de 10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Suponiendo que las placas defectuosas son aquellas cuyo espesor es inferior a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10−</m:t>
                  </m:r>
                  <m:r>
                    <a:rPr lang="es-ES_tradnl" sz="1600" i="1">
                      <a:solidFill>
                        <a:schemeClr val="dk1"/>
                      </a:solidFill>
                      <a:effectLst/>
                      <a:latin typeface="Cambria Math" panose="02040503050406030204" pitchFamily="18" charset="0"/>
                      <a:ea typeface="+mn-ea"/>
                      <a:cs typeface="+mn-cs"/>
                    </a:rPr>
                    <m:t>𝑘</m:t>
                  </m:r>
                </m:oMath>
              </a14:m>
              <a:r>
                <a:rPr lang="es-ES_tradnl" sz="1600">
                  <a:solidFill>
                    <a:schemeClr val="dk1"/>
                  </a:solidFill>
                  <a:effectLst/>
                  <a:latin typeface="+mn-lt"/>
                  <a:ea typeface="+mn-ea"/>
                  <a:cs typeface="+mn-cs"/>
                </a:rPr>
                <a:t> y superior a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10+</m:t>
                  </m:r>
                  <m:r>
                    <a:rPr lang="es-ES_tradnl" sz="1600" i="1">
                      <a:solidFill>
                        <a:schemeClr val="dk1"/>
                      </a:solidFill>
                      <a:effectLst/>
                      <a:latin typeface="Cambria Math" panose="02040503050406030204" pitchFamily="18" charset="0"/>
                      <a:ea typeface="+mn-ea"/>
                      <a:cs typeface="+mn-cs"/>
                    </a:rPr>
                    <m:t>𝑘</m:t>
                  </m:r>
                </m:oMath>
              </a14:m>
              <a:r>
                <a:rPr lang="es-ES_tradnl" sz="1600">
                  <a:solidFill>
                    <a:schemeClr val="dk1"/>
                  </a:solidFill>
                  <a:effectLst/>
                  <a:latin typeface="+mn-lt"/>
                  <a:ea typeface="+mn-ea"/>
                  <a:cs typeface="+mn-cs"/>
                </a:rPr>
                <a:t>:</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d)	determinar la constante k de forma que el porcentaje esperado de placas defectuosas no supere el 5%.</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e)	¿Cómo cambiará el porcentaje de placas defectuosas en el apartado d) si el valor medio pasa de 10 mm. a 10.01 mm.?</a:t>
              </a:r>
              <a:endParaRPr lang="es-ES" sz="1600">
                <a:solidFill>
                  <a:schemeClr val="dk1"/>
                </a:solidFill>
                <a:effectLst/>
                <a:latin typeface="+mn-lt"/>
                <a:ea typeface="+mn-ea"/>
                <a:cs typeface="+mn-cs"/>
              </a:endParaRPr>
            </a:p>
            <a:p>
              <a:endParaRPr lang="es-ES"/>
            </a:p>
          </xdr:txBody>
        </xdr:sp>
      </mc:Choice>
      <mc:Fallback xmlns="">
        <xdr:sp macro="" textlink="">
          <xdr:nvSpPr>
            <xdr:cNvPr id="2" name="CuadroTexto 1">
              <a:extLst>
                <a:ext uri="{FF2B5EF4-FFF2-40B4-BE49-F238E27FC236}">
                  <a16:creationId xmlns:a16="http://schemas.microsoft.com/office/drawing/2014/main" id="{99D6851E-E316-4ED7-BA2D-7968990AE869}"/>
                </a:ext>
              </a:extLst>
            </xdr:cNvPr>
            <xdr:cNvSpPr txBox="1"/>
          </xdr:nvSpPr>
          <xdr:spPr>
            <a:xfrm>
              <a:off x="6986" y="52070"/>
              <a:ext cx="12756515" cy="3856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600" b="1">
                  <a:solidFill>
                    <a:schemeClr val="dk1"/>
                  </a:solidFill>
                  <a:effectLst/>
                  <a:latin typeface="+mn-lt"/>
                  <a:ea typeface="+mn-ea"/>
                  <a:cs typeface="+mn-cs"/>
                </a:rPr>
                <a:t>6-9.</a:t>
              </a:r>
              <a:r>
                <a:rPr lang="es-ES_tradnl" sz="1600">
                  <a:solidFill>
                    <a:schemeClr val="dk1"/>
                  </a:solidFill>
                  <a:effectLst/>
                  <a:latin typeface="+mn-lt"/>
                  <a:ea typeface="+mn-ea"/>
                  <a:cs typeface="+mn-cs"/>
                </a:rPr>
                <a:t> En un proceso de fabricación se obtienen planchas de acero que han de tener un determinado grosor. Debido a las propiedades del material, el comportamiento de las máquinas así como de las herramientas utilizadas el grosor sufre ligeras perturbaciones aleatorias imposibles de predecir. Por ello, el grosor X en milímetros de las placas puede considerarse como una variable aleatoria que, para un determinado ajuste de la línea de producción, puede considerarse que tiene una distribución normal con media 10 mm y desviación típica 0.02 mm. Determinar el porcentaje de placas defectuosas que se esperan obtener suponiendo que las placas defectuosas son:</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a)	placas más delgadas que 9.97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b)	placas más gruesas que 10.05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c)	placas cuyo grosor difiere en más de 0.03 mm de 10 mm</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Suponiendo que las placas defectuosas son aquellas cuyo espesor es inferior a </a:t>
              </a:r>
              <a:r>
                <a:rPr lang="es-ES_tradnl" sz="1600" i="0">
                  <a:solidFill>
                    <a:schemeClr val="dk1"/>
                  </a:solidFill>
                  <a:effectLst/>
                  <a:latin typeface="Cambria Math" panose="02040503050406030204" pitchFamily="18" charset="0"/>
                  <a:ea typeface="+mn-ea"/>
                  <a:cs typeface="+mn-cs"/>
                </a:rPr>
                <a:t>10−𝑘</a:t>
              </a:r>
              <a:r>
                <a:rPr lang="es-ES_tradnl" sz="1600">
                  <a:solidFill>
                    <a:schemeClr val="dk1"/>
                  </a:solidFill>
                  <a:effectLst/>
                  <a:latin typeface="+mn-lt"/>
                  <a:ea typeface="+mn-ea"/>
                  <a:cs typeface="+mn-cs"/>
                </a:rPr>
                <a:t> y superior a </a:t>
              </a:r>
              <a:r>
                <a:rPr lang="es-ES_tradnl" sz="1600" i="0">
                  <a:solidFill>
                    <a:schemeClr val="dk1"/>
                  </a:solidFill>
                  <a:effectLst/>
                  <a:latin typeface="Cambria Math" panose="02040503050406030204" pitchFamily="18" charset="0"/>
                  <a:ea typeface="+mn-ea"/>
                  <a:cs typeface="+mn-cs"/>
                </a:rPr>
                <a:t>10+𝑘</a:t>
              </a:r>
              <a:r>
                <a:rPr lang="es-ES_tradnl" sz="1600">
                  <a:solidFill>
                    <a:schemeClr val="dk1"/>
                  </a:solidFill>
                  <a:effectLst/>
                  <a:latin typeface="+mn-lt"/>
                  <a:ea typeface="+mn-ea"/>
                  <a:cs typeface="+mn-cs"/>
                </a:rPr>
                <a:t>:</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d)	determinar la constante k de forma que el porcentaje esperado de placas defectuosas no supere el 5%.</a:t>
              </a:r>
              <a:endParaRPr lang="es-ES" sz="1600">
                <a:solidFill>
                  <a:schemeClr val="dk1"/>
                </a:solidFill>
                <a:effectLst/>
                <a:latin typeface="+mn-lt"/>
                <a:ea typeface="+mn-ea"/>
                <a:cs typeface="+mn-cs"/>
              </a:endParaRPr>
            </a:p>
            <a:p>
              <a:pPr hangingPunct="0"/>
              <a:r>
                <a:rPr lang="es-ES_tradnl" sz="1600">
                  <a:solidFill>
                    <a:schemeClr val="dk1"/>
                  </a:solidFill>
                  <a:effectLst/>
                  <a:latin typeface="+mn-lt"/>
                  <a:ea typeface="+mn-ea"/>
                  <a:cs typeface="+mn-cs"/>
                </a:rPr>
                <a:t>e)	¿Cómo cambiará el porcentaje de placas defectuosas en el apartado d) si el valor medio pasa de 10 mm. a 10.01 mm.?</a:t>
              </a:r>
              <a:endParaRPr lang="es-ES" sz="1600">
                <a:solidFill>
                  <a:schemeClr val="dk1"/>
                </a:solidFill>
                <a:effectLst/>
                <a:latin typeface="+mn-lt"/>
                <a:ea typeface="+mn-ea"/>
                <a:cs typeface="+mn-cs"/>
              </a:endParaRPr>
            </a:p>
            <a:p>
              <a:endParaRPr lang="es-ES"/>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586153</xdr:colOff>
      <xdr:row>10</xdr:row>
      <xdr:rowOff>29309</xdr:rowOff>
    </xdr:to>
    <xdr:sp macro="" textlink="">
      <xdr:nvSpPr>
        <xdr:cNvPr id="2" name="CuadroTexto 1">
          <a:extLst>
            <a:ext uri="{FF2B5EF4-FFF2-40B4-BE49-F238E27FC236}">
              <a16:creationId xmlns:a16="http://schemas.microsoft.com/office/drawing/2014/main" id="{A69D3B38-9101-4A08-BB03-9E6352ED6745}"/>
            </a:ext>
          </a:extLst>
        </xdr:cNvPr>
        <xdr:cNvSpPr txBox="1"/>
      </xdr:nvSpPr>
      <xdr:spPr>
        <a:xfrm>
          <a:off x="0" y="1"/>
          <a:ext cx="8968153"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400" b="1">
              <a:solidFill>
                <a:schemeClr val="dk1"/>
              </a:solidFill>
              <a:effectLst/>
              <a:latin typeface="+mn-lt"/>
              <a:ea typeface="+mn-ea"/>
              <a:cs typeface="+mn-cs"/>
            </a:rPr>
            <a:t>6-12.</a:t>
          </a:r>
          <a:r>
            <a:rPr lang="es-ES_tradnl" sz="1400">
              <a:solidFill>
                <a:schemeClr val="dk1"/>
              </a:solidFill>
              <a:effectLst/>
              <a:latin typeface="+mn-lt"/>
              <a:ea typeface="+mn-ea"/>
              <a:cs typeface="+mn-cs"/>
            </a:rPr>
            <a:t> Se sabe que un determinado tipo de transistor tiene un tiempo medio de fallo de diez mil horas. Se ha comprobado que los tiempos de vida de estos transistores tienen una distribución exponencial.</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a) ¿Cuál es la probabilidad de que el tiempo de vida de un transistor exceda el tiempo medio de vida?</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b) ¿Cuál es la probabilidad de que el transistor falle en las primeras mil horas de uso?</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c) ¿Cuál es la probabilidad de que el tiempo de vida de un transistor esté entre 10000 y 11000 horas?</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d) La tasa de fallo durante un periodo de tiempo es la probabilidad de fallo durante ese periodo dado que el transistor ha sobrevivido hasta el comienzo de dicho periodo. En otras palabras, la tasa de fallo durante un periodo de tiempo es el número de transistores que fallarán durante ese periodo dividido por el número de transistores que todavía están operativos al comienzo de dicho periodo. Determinar la tasa de fallo del periodo (10000, 11000).</a:t>
          </a:r>
          <a:endParaRPr lang="es-ES" sz="1400">
            <a:solidFill>
              <a:schemeClr val="dk1"/>
            </a:solidFill>
            <a:effectLst/>
            <a:latin typeface="+mn-lt"/>
            <a:ea typeface="+mn-ea"/>
            <a:cs typeface="+mn-cs"/>
          </a:endParaRPr>
        </a:p>
        <a:p>
          <a:pPr lvl="0" fontAlgn="auto" hangingPunct="1"/>
          <a:r>
            <a:rPr lang="es-ES_tradnl" sz="1400">
              <a:solidFill>
                <a:schemeClr val="dk1"/>
              </a:solidFill>
              <a:effectLst/>
              <a:latin typeface="+mn-lt"/>
              <a:ea typeface="+mn-ea"/>
              <a:cs typeface="+mn-cs"/>
            </a:rPr>
            <a:t>e) Compare el resultado d) con el b). Interprete el resultado.</a:t>
          </a:r>
          <a:endParaRPr lang="es-ES" sz="1400">
            <a:solidFill>
              <a:schemeClr val="dk1"/>
            </a:solidFill>
            <a:effectLst/>
            <a:latin typeface="+mn-lt"/>
            <a:ea typeface="+mn-ea"/>
            <a:cs typeface="+mn-cs"/>
          </a:endParaRPr>
        </a:p>
        <a:p>
          <a:endParaRPr lang="es-ES"/>
        </a:p>
      </xdr:txBody>
    </xdr:sp>
    <xdr:clientData/>
  </xdr:twoCellAnchor>
  <xdr:twoCellAnchor>
    <xdr:from>
      <xdr:col>0</xdr:col>
      <xdr:colOff>21981</xdr:colOff>
      <xdr:row>38</xdr:row>
      <xdr:rowOff>14653</xdr:rowOff>
    </xdr:from>
    <xdr:to>
      <xdr:col>7</xdr:col>
      <xdr:colOff>615462</xdr:colOff>
      <xdr:row>43</xdr:row>
      <xdr:rowOff>227134</xdr:rowOff>
    </xdr:to>
    <xdr:sp macro="" textlink="">
      <xdr:nvSpPr>
        <xdr:cNvPr id="3" name="CuadroTexto 2">
          <a:extLst>
            <a:ext uri="{FF2B5EF4-FFF2-40B4-BE49-F238E27FC236}">
              <a16:creationId xmlns:a16="http://schemas.microsoft.com/office/drawing/2014/main" id="{0C865ED9-495A-BEA3-C87A-378001AA3679}"/>
            </a:ext>
          </a:extLst>
        </xdr:cNvPr>
        <xdr:cNvSpPr txBox="1"/>
      </xdr:nvSpPr>
      <xdr:spPr>
        <a:xfrm>
          <a:off x="21981" y="10536115"/>
          <a:ext cx="8462596" cy="1531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_tradnl" sz="1100">
              <a:solidFill>
                <a:schemeClr val="dk1"/>
              </a:solidFill>
              <a:effectLst/>
              <a:latin typeface="+mn-lt"/>
              <a:ea typeface="+mn-ea"/>
              <a:cs typeface="+mn-cs"/>
            </a:rPr>
            <a:t>Es el mismo. La interpretación es que la tasa de fallo del periodo (0, 1000) es la misma que la del periodo (10.000, 11.000). Esto recibe el nombre de pérdida de memoria de la distribución exponencial.</a:t>
          </a:r>
          <a:endParaRPr lang="es-ES" sz="1100">
            <a:solidFill>
              <a:schemeClr val="dk1"/>
            </a:solidFill>
            <a:effectLst/>
            <a:latin typeface="+mn-lt"/>
            <a:ea typeface="+mn-ea"/>
            <a:cs typeface="+mn-cs"/>
          </a:endParaRPr>
        </a:p>
        <a:p>
          <a:endParaRPr lang="es-E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73268</xdr:colOff>
      <xdr:row>8</xdr:row>
      <xdr:rowOff>133350</xdr:rowOff>
    </xdr:to>
    <xdr:sp macro="" textlink="">
      <xdr:nvSpPr>
        <xdr:cNvPr id="2" name="CuadroTexto 1">
          <a:extLst>
            <a:ext uri="{FF2B5EF4-FFF2-40B4-BE49-F238E27FC236}">
              <a16:creationId xmlns:a16="http://schemas.microsoft.com/office/drawing/2014/main" id="{F219C445-8C3B-4C14-8511-74FFA7F6B578}"/>
            </a:ext>
          </a:extLst>
        </xdr:cNvPr>
        <xdr:cNvSpPr txBox="1"/>
      </xdr:nvSpPr>
      <xdr:spPr>
        <a:xfrm>
          <a:off x="0" y="0"/>
          <a:ext cx="11503268" cy="226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s-ES_tradnl" sz="1400" b="1">
              <a:solidFill>
                <a:schemeClr val="dk1"/>
              </a:solidFill>
              <a:effectLst/>
              <a:latin typeface="+mn-lt"/>
              <a:ea typeface="+mn-ea"/>
              <a:cs typeface="+mn-cs"/>
            </a:rPr>
            <a:t>6-15.</a:t>
          </a:r>
          <a:r>
            <a:rPr lang="es-ES_tradnl" sz="1400">
              <a:solidFill>
                <a:schemeClr val="dk1"/>
              </a:solidFill>
              <a:effectLst/>
              <a:latin typeface="+mn-lt"/>
              <a:ea typeface="+mn-ea"/>
              <a:cs typeface="+mn-cs"/>
            </a:rPr>
            <a:t> El peso de los habitantes de una población está distribuido normalmente con una media de 65 Kg y una desviación típica de 15 Kg.</a:t>
          </a:r>
          <a:endParaRPr lang="es-ES" sz="1400">
            <a:solidFill>
              <a:schemeClr val="dk1"/>
            </a:solidFill>
            <a:effectLst/>
            <a:latin typeface="+mn-lt"/>
            <a:ea typeface="+mn-ea"/>
            <a:cs typeface="+mn-cs"/>
          </a:endParaRPr>
        </a:p>
        <a:p>
          <a:pPr hangingPunct="0"/>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a)Calcular el porcentaje de personas con un peso superior a 80 Kg.</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b)Determinar la probabilidad de que en una muestra de 7 personas exactamente 4 tengan un peso comprendido entre 60 y 75 Kg.</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c)Calcular el número medio de personas de la muestra del apartado anterior que no tienen un peso comprendido entre 60 y 75 Kg.</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d)Se han examinado las 7 personas del apartado b), resultando que 5 tienen un peso comprendido entre 60 y 75 Kg. Si seleccionamos 3 personas, ¿cuál será la probabilidad de que exactamente 2 personas tengan un peso comprendido entre 60 y 75 Kg?</a:t>
          </a:r>
          <a:endParaRPr lang="es-ES" sz="1400">
            <a:solidFill>
              <a:schemeClr val="dk1"/>
            </a:solidFill>
            <a:effectLst/>
            <a:latin typeface="+mn-lt"/>
            <a:ea typeface="+mn-ea"/>
            <a:cs typeface="+mn-cs"/>
          </a:endParaRPr>
        </a:p>
        <a:p>
          <a:pPr lvl="0" hangingPunct="0"/>
          <a:r>
            <a:rPr lang="es-ES_tradnl" sz="1400">
              <a:solidFill>
                <a:schemeClr val="dk1"/>
              </a:solidFill>
              <a:effectLst/>
              <a:latin typeface="+mn-lt"/>
              <a:ea typeface="+mn-ea"/>
              <a:cs typeface="+mn-cs"/>
            </a:rPr>
            <a:t>e) Calcular la probabilidad de que haya que seleccionar al menos 3 personas de la población antes de encontrar la primera persona con un peso comprendido entre 60 y 75 Kg.</a:t>
          </a:r>
          <a:endParaRPr lang="es-ES" sz="1400">
            <a:solidFill>
              <a:schemeClr val="dk1"/>
            </a:solidFill>
            <a:effectLst/>
            <a:latin typeface="+mn-lt"/>
            <a:ea typeface="+mn-ea"/>
            <a:cs typeface="+mn-cs"/>
          </a:endParaRPr>
        </a:p>
        <a:p>
          <a:endParaRPr lang="es-E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B18"/>
  <sheetViews>
    <sheetView topLeftCell="A5" zoomScale="160" zoomScaleNormal="160" workbookViewId="0">
      <selection activeCell="B15" sqref="B15"/>
    </sheetView>
  </sheetViews>
  <sheetFormatPr baseColWidth="10" defaultColWidth="8.7265625" defaultRowHeight="14.75" x14ac:dyDescent="0.75"/>
  <cols>
    <col min="1" max="1" width="23.1328125" bestFit="1" customWidth="1"/>
    <col min="2" max="2" width="16.54296875" customWidth="1"/>
  </cols>
  <sheetData>
    <row r="12" spans="1:2" ht="21.75" x14ac:dyDescent="1.1000000000000001">
      <c r="A12" s="1" t="s">
        <v>0</v>
      </c>
      <c r="B12" s="2">
        <f>_xlfn.NORM.S.DIST(1.42,TRUE)-_xlfn.NORM.S.DIST(0,TRUE)</f>
        <v>0.42219615947345368</v>
      </c>
    </row>
    <row r="13" spans="1:2" ht="21.75" x14ac:dyDescent="1.1000000000000001">
      <c r="A13" s="1" t="s">
        <v>1</v>
      </c>
      <c r="B13" s="2">
        <f>_xlfn.NORM.S.DIST(0,TRUE)-_xlfn.NORM.S.DIST(-0.73,TRUE)</f>
        <v>0.26730490769910259</v>
      </c>
    </row>
    <row r="14" spans="1:2" ht="21.75" x14ac:dyDescent="1.1000000000000001">
      <c r="A14" s="1" t="s">
        <v>2</v>
      </c>
      <c r="B14" s="2">
        <f>_xlfn.NORM.S.DIST(2.01,TRUE)-_xlfn.NORM.S.DIST(-1.37,TRUE)</f>
        <v>0.89244095474860163</v>
      </c>
    </row>
    <row r="15" spans="1:2" ht="21.75" x14ac:dyDescent="1.1000000000000001">
      <c r="A15" s="1" t="s">
        <v>3</v>
      </c>
      <c r="B15" s="2">
        <f>_xlfn.NORM.S.DIST(1.26,TRUE)-_xlfn.NORM.S.DIST(0.65,TRUE)</f>
        <v>0.15401142968456438</v>
      </c>
    </row>
    <row r="16" spans="1:2" ht="21.75" x14ac:dyDescent="1.1000000000000001">
      <c r="A16" s="1" t="s">
        <v>4</v>
      </c>
      <c r="B16" s="2">
        <f>_xlfn.NORM.S.DIST(-0.54,TRUE)-_xlfn.NORM.S.DIST(-179,TRUE)</f>
        <v>0.29459851621569799</v>
      </c>
    </row>
    <row r="17" spans="1:2" ht="21.75" x14ac:dyDescent="1.1000000000000001">
      <c r="A17" s="1" t="s">
        <v>5</v>
      </c>
      <c r="B17" s="2">
        <f>1-_xlfn.NORM.S.DIST(1.13,TRUE)</f>
        <v>0.1292381122400178</v>
      </c>
    </row>
    <row r="18" spans="1:2" ht="21.75" x14ac:dyDescent="1.1000000000000001">
      <c r="A18" s="1" t="s">
        <v>6</v>
      </c>
      <c r="B18" s="2">
        <f>_xlfn.NORM.S.DIST(0.5,TRUE)-_xlfn.NORM.S.DIST(-0.5,TRUE)</f>
        <v>0.38292492254802624</v>
      </c>
    </row>
  </sheetData>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34503-AFBD-4305-9F42-C354AEFF080C}">
  <dimension ref="A17:C41"/>
  <sheetViews>
    <sheetView topLeftCell="A33" zoomScale="145" zoomScaleNormal="145" workbookViewId="0">
      <selection activeCell="B41" sqref="B41"/>
    </sheetView>
  </sheetViews>
  <sheetFormatPr baseColWidth="10" defaultColWidth="10.86328125" defaultRowHeight="21" x14ac:dyDescent="1"/>
  <cols>
    <col min="1" max="1" width="36.86328125" style="4" bestFit="1" customWidth="1"/>
    <col min="2" max="2" width="49.54296875" style="4" bestFit="1" customWidth="1"/>
    <col min="3" max="16384" width="10.86328125" style="4"/>
  </cols>
  <sheetData>
    <row r="17" spans="1:3" ht="21.75" x14ac:dyDescent="1.1000000000000001">
      <c r="A17" s="1" t="s">
        <v>7</v>
      </c>
      <c r="B17" s="3">
        <v>450</v>
      </c>
      <c r="C17" s="3" t="s">
        <v>10</v>
      </c>
    </row>
    <row r="18" spans="1:3" ht="21.75" x14ac:dyDescent="1.1000000000000001">
      <c r="A18" s="1" t="s">
        <v>8</v>
      </c>
      <c r="B18" s="5">
        <v>0.1</v>
      </c>
    </row>
    <row r="19" spans="1:3" ht="21.75" x14ac:dyDescent="1.1000000000000001">
      <c r="A19" s="1" t="s">
        <v>9</v>
      </c>
      <c r="B19" s="5">
        <v>0.05</v>
      </c>
    </row>
    <row r="21" spans="1:3" ht="21.75" thickBot="1" x14ac:dyDescent="1.1499999999999999">
      <c r="A21" s="6" t="s">
        <v>11</v>
      </c>
      <c r="B21" s="6"/>
    </row>
    <row r="22" spans="1:3" ht="21.75" thickTop="1" x14ac:dyDescent="1"/>
    <row r="23" spans="1:3" ht="21.75" x14ac:dyDescent="1.1000000000000001">
      <c r="A23" s="1" t="s">
        <v>12</v>
      </c>
      <c r="B23" s="2" t="s">
        <v>13</v>
      </c>
    </row>
    <row r="24" spans="1:3" ht="21.75" x14ac:dyDescent="1.1000000000000001">
      <c r="A24" s="1" t="s">
        <v>14</v>
      </c>
      <c r="B24" s="2">
        <f>_xlfn.NORM.S.INV(B18)</f>
        <v>-1.2815515655446006</v>
      </c>
    </row>
    <row r="25" spans="1:3" ht="21.75" x14ac:dyDescent="1.1000000000000001">
      <c r="A25" s="1" t="s">
        <v>15</v>
      </c>
      <c r="B25" s="2">
        <f>_xlfn.NORM.S.INV(1-B19)</f>
        <v>1.6448536269514715</v>
      </c>
    </row>
    <row r="26" spans="1:3" ht="21.75" x14ac:dyDescent="1.1000000000000001">
      <c r="A26" s="1" t="s">
        <v>16</v>
      </c>
      <c r="B26" s="2">
        <f>450-(B24*B27)</f>
        <v>453.06548832739071</v>
      </c>
    </row>
    <row r="27" spans="1:3" ht="21.75" x14ac:dyDescent="1.1000000000000001">
      <c r="A27" s="1" t="s">
        <v>17</v>
      </c>
      <c r="B27" s="2">
        <f>7/(B25-B24)</f>
        <v>2.392013251599435</v>
      </c>
    </row>
    <row r="29" spans="1:3" ht="21.75" thickBot="1" x14ac:dyDescent="1.1499999999999999">
      <c r="A29" s="6" t="s">
        <v>18</v>
      </c>
      <c r="B29" s="6"/>
    </row>
    <row r="30" spans="1:3" ht="21.75" thickTop="1" x14ac:dyDescent="1"/>
    <row r="31" spans="1:3" ht="21.75" x14ac:dyDescent="1.1000000000000001">
      <c r="A31" s="1" t="s">
        <v>19</v>
      </c>
      <c r="B31" s="3">
        <v>375000</v>
      </c>
    </row>
    <row r="32" spans="1:3" ht="24.5" x14ac:dyDescent="1.1000000000000001">
      <c r="A32" s="1" t="s">
        <v>20</v>
      </c>
      <c r="B32" s="7" t="s">
        <v>25</v>
      </c>
    </row>
    <row r="33" spans="1:3" ht="24.5" x14ac:dyDescent="1.1000000000000001">
      <c r="A33" s="1" t="s">
        <v>21</v>
      </c>
      <c r="B33" s="7" t="s">
        <v>22</v>
      </c>
    </row>
    <row r="35" spans="1:3" ht="21.75" x14ac:dyDescent="1.1000000000000001">
      <c r="A35" s="1" t="s">
        <v>23</v>
      </c>
      <c r="B35" s="2">
        <f>335+6.8515*B26-((B26^2)+(B27^2))*0.01402</f>
        <v>561.23589393604288</v>
      </c>
      <c r="C35" s="4" t="s">
        <v>30</v>
      </c>
    </row>
    <row r="36" spans="1:3" ht="21.75" x14ac:dyDescent="1.1000000000000001">
      <c r="A36" s="1" t="s">
        <v>24</v>
      </c>
      <c r="B36" s="2">
        <f>334.68+6.8705*B26-0.01398*((B26^2)+(B27^2))</f>
        <v>577.73510055189217</v>
      </c>
      <c r="C36" s="4" t="s">
        <v>30</v>
      </c>
    </row>
    <row r="38" spans="1:3" ht="21.75" thickBot="1" x14ac:dyDescent="1.1499999999999999">
      <c r="A38" s="6" t="s">
        <v>26</v>
      </c>
      <c r="B38" s="6"/>
    </row>
    <row r="39" spans="1:3" ht="21.75" thickTop="1" x14ac:dyDescent="1"/>
    <row r="40" spans="1:3" ht="21.75" x14ac:dyDescent="1.1000000000000001">
      <c r="A40" s="1" t="s">
        <v>27</v>
      </c>
      <c r="B40" s="2">
        <f>$B$31*B35/100</f>
        <v>2104634.6022601607</v>
      </c>
      <c r="C40" s="4" t="s">
        <v>29</v>
      </c>
    </row>
    <row r="41" spans="1:3" ht="21.75" x14ac:dyDescent="1.1000000000000001">
      <c r="A41" s="1" t="s">
        <v>28</v>
      </c>
      <c r="B41" s="2">
        <f>$B$31*B36/100</f>
        <v>2166506.6270695957</v>
      </c>
      <c r="C41" s="4" t="s">
        <v>29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A4A96-1638-4118-A941-A396AAC5A487}">
  <dimension ref="A17:F40"/>
  <sheetViews>
    <sheetView topLeftCell="A23" workbookViewId="0">
      <selection activeCell="B41" sqref="B41"/>
    </sheetView>
  </sheetViews>
  <sheetFormatPr baseColWidth="10" defaultColWidth="10.86328125" defaultRowHeight="21" x14ac:dyDescent="1"/>
  <cols>
    <col min="1" max="1" width="35" style="4" bestFit="1" customWidth="1"/>
    <col min="2" max="2" width="37.1328125" style="4" customWidth="1"/>
    <col min="3" max="4" width="10.86328125" style="4"/>
    <col min="5" max="5" width="22.26953125" style="4" bestFit="1" customWidth="1"/>
    <col min="6" max="6" width="43" style="4" customWidth="1"/>
    <col min="7" max="16384" width="10.86328125" style="4"/>
  </cols>
  <sheetData>
    <row r="17" spans="1:6" ht="21.75" x14ac:dyDescent="1.1000000000000001">
      <c r="A17" s="1" t="s">
        <v>12</v>
      </c>
      <c r="B17" s="3" t="s">
        <v>31</v>
      </c>
    </row>
    <row r="18" spans="1:6" ht="21.75" x14ac:dyDescent="1.1000000000000001">
      <c r="A18" s="1" t="s">
        <v>32</v>
      </c>
      <c r="B18" s="5" t="s">
        <v>33</v>
      </c>
    </row>
    <row r="19" spans="1:6" ht="21.75" x14ac:dyDescent="1.1000000000000001">
      <c r="A19" s="1" t="s">
        <v>16</v>
      </c>
      <c r="B19" s="8">
        <v>10</v>
      </c>
    </row>
    <row r="20" spans="1:6" ht="21.75" x14ac:dyDescent="1.1000000000000001">
      <c r="A20" s="1" t="s">
        <v>17</v>
      </c>
      <c r="B20" s="8">
        <v>0.02</v>
      </c>
    </row>
    <row r="22" spans="1:6" ht="21.75" thickBot="1" x14ac:dyDescent="1.1499999999999999">
      <c r="A22" s="6" t="s">
        <v>11</v>
      </c>
      <c r="B22" s="6"/>
      <c r="E22" s="6" t="s">
        <v>18</v>
      </c>
      <c r="F22" s="6"/>
    </row>
    <row r="23" spans="1:6" ht="21.75" thickTop="1" x14ac:dyDescent="1"/>
    <row r="24" spans="1:6" ht="21.75" x14ac:dyDescent="1.1000000000000001">
      <c r="A24" s="1" t="s">
        <v>12</v>
      </c>
      <c r="B24" s="2" t="str">
        <f>B17</f>
        <v>X: Grosor en mm</v>
      </c>
      <c r="E24" s="1" t="s">
        <v>12</v>
      </c>
      <c r="F24" s="2" t="str">
        <f>B17</f>
        <v>X: Grosor en mm</v>
      </c>
    </row>
    <row r="25" spans="1:6" ht="21.75" x14ac:dyDescent="1.1000000000000001">
      <c r="A25" s="1" t="s">
        <v>34</v>
      </c>
      <c r="B25" s="2" t="s">
        <v>36</v>
      </c>
      <c r="E25" s="1" t="s">
        <v>34</v>
      </c>
      <c r="F25" s="2" t="s">
        <v>37</v>
      </c>
    </row>
    <row r="26" spans="1:6" ht="24.25" x14ac:dyDescent="1.35">
      <c r="A26" s="1" t="s">
        <v>35</v>
      </c>
      <c r="B26" s="2">
        <f>_xlfn.NORM.DIST(9.97,B19,B20,TRUE)</f>
        <v>6.6807201268862179E-2</v>
      </c>
      <c r="E26" s="1" t="s">
        <v>38</v>
      </c>
      <c r="F26" s="2">
        <f>1-_xlfn.NORM.DIST(10.05,B19,B20,TRUE)</f>
        <v>6.209665325775493E-3</v>
      </c>
    </row>
    <row r="29" spans="1:6" ht="21.75" thickBot="1" x14ac:dyDescent="1.1499999999999999">
      <c r="A29" s="6" t="s">
        <v>26</v>
      </c>
      <c r="B29" s="6"/>
      <c r="E29" s="6" t="s">
        <v>41</v>
      </c>
      <c r="F29" s="6"/>
    </row>
    <row r="30" spans="1:6" ht="21.75" thickTop="1" x14ac:dyDescent="1"/>
    <row r="31" spans="1:6" ht="21.75" x14ac:dyDescent="1.1000000000000001">
      <c r="A31" s="1" t="s">
        <v>12</v>
      </c>
      <c r="B31" s="2" t="str">
        <f>B24</f>
        <v>X: Grosor en mm</v>
      </c>
      <c r="E31" s="1" t="s">
        <v>12</v>
      </c>
      <c r="F31" s="2" t="str">
        <f>F24</f>
        <v>X: Grosor en mm</v>
      </c>
    </row>
    <row r="32" spans="1:6" ht="21.75" x14ac:dyDescent="1.1000000000000001">
      <c r="A32" s="1" t="s">
        <v>34</v>
      </c>
      <c r="B32" s="2" t="s">
        <v>39</v>
      </c>
      <c r="E32" s="1" t="s">
        <v>34</v>
      </c>
      <c r="F32" s="2" t="s">
        <v>42</v>
      </c>
    </row>
    <row r="33" spans="1:6" ht="24.25" x14ac:dyDescent="1.35">
      <c r="A33" s="1" t="s">
        <v>40</v>
      </c>
      <c r="B33" s="9">
        <f>1-(_xlfn.NORM.DIST(10+0.03,B19,B20,TRUE)-_xlfn.NORM.DIST(10-0.03,B19,B20,TRUE))</f>
        <v>0.13361440253772439</v>
      </c>
      <c r="E33" s="1" t="s">
        <v>43</v>
      </c>
      <c r="F33" s="9">
        <f>_xlfn.NORM.S.INV(0.975)</f>
        <v>1.9599639845400536</v>
      </c>
    </row>
    <row r="34" spans="1:6" ht="21.75" x14ac:dyDescent="1.1000000000000001">
      <c r="E34" s="1" t="s">
        <v>44</v>
      </c>
      <c r="F34" s="9">
        <f>F33/50</f>
        <v>3.9199279690801073E-2</v>
      </c>
    </row>
    <row r="36" spans="1:6" ht="21.75" thickBot="1" x14ac:dyDescent="1.1499999999999999">
      <c r="A36" s="6" t="s">
        <v>45</v>
      </c>
      <c r="B36" s="6"/>
    </row>
    <row r="37" spans="1:6" ht="21.75" thickTop="1" x14ac:dyDescent="1"/>
    <row r="38" spans="1:6" ht="21.75" x14ac:dyDescent="1.1000000000000001">
      <c r="A38" s="1" t="s">
        <v>12</v>
      </c>
      <c r="B38" s="2" t="str">
        <f>B31</f>
        <v>X: Grosor en mm</v>
      </c>
    </row>
    <row r="39" spans="1:6" ht="21.75" x14ac:dyDescent="1.1000000000000001">
      <c r="A39" s="1" t="s">
        <v>34</v>
      </c>
      <c r="B39" s="2" t="s">
        <v>46</v>
      </c>
      <c r="E39" s="10"/>
      <c r="F39" s="10"/>
    </row>
    <row r="40" spans="1:6" ht="24.25" x14ac:dyDescent="1.35">
      <c r="A40" s="1" t="s">
        <v>47</v>
      </c>
      <c r="B40" s="9">
        <f>1-(_xlfn.NORM.S.DIST(1.46,TRUE)-_xlfn.NORM.S.DIST(-2.46,TRUE))</f>
        <v>7.9091887754518142E-2</v>
      </c>
    </row>
  </sheetData>
  <phoneticPr fontId="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0F289-F23D-42C0-9ADD-F1281B64F246}">
  <dimension ref="A12:E38"/>
  <sheetViews>
    <sheetView topLeftCell="A31" zoomScale="130" zoomScaleNormal="130" workbookViewId="0">
      <selection activeCell="B36" sqref="B36"/>
    </sheetView>
  </sheetViews>
  <sheetFormatPr baseColWidth="10" defaultColWidth="11.40625" defaultRowHeight="21" x14ac:dyDescent="1"/>
  <cols>
    <col min="1" max="1" width="23.1328125" style="4" bestFit="1" customWidth="1"/>
    <col min="2" max="2" width="37.7265625" style="4" bestFit="1" customWidth="1"/>
    <col min="3" max="16384" width="11.40625" style="4"/>
  </cols>
  <sheetData>
    <row r="12" spans="1:5" ht="21.75" x14ac:dyDescent="1.1000000000000001">
      <c r="A12" s="1" t="s">
        <v>48</v>
      </c>
      <c r="B12" s="3">
        <v>10000</v>
      </c>
      <c r="C12" s="4" t="s">
        <v>49</v>
      </c>
    </row>
    <row r="13" spans="1:5" ht="21.75" x14ac:dyDescent="1.1000000000000001">
      <c r="A13" s="1" t="s">
        <v>50</v>
      </c>
      <c r="B13" s="2">
        <f>1/B12</f>
        <v>1E-4</v>
      </c>
    </row>
    <row r="15" spans="1:5" ht="21.75" x14ac:dyDescent="1.1000000000000001">
      <c r="A15" s="1" t="s">
        <v>12</v>
      </c>
      <c r="B15" s="13" t="s">
        <v>51</v>
      </c>
      <c r="C15" s="13"/>
      <c r="D15" s="13"/>
      <c r="E15" s="13"/>
    </row>
    <row r="17" spans="1:2" ht="21.75" thickBot="1" x14ac:dyDescent="1.1499999999999999">
      <c r="A17" s="6" t="s">
        <v>11</v>
      </c>
      <c r="B17" s="6"/>
    </row>
    <row r="18" spans="1:2" ht="21.75" thickTop="1" x14ac:dyDescent="1"/>
    <row r="19" spans="1:2" ht="24.5" x14ac:dyDescent="1.35">
      <c r="A19" s="11" t="s">
        <v>53</v>
      </c>
      <c r="B19" s="12" t="s">
        <v>57</v>
      </c>
    </row>
    <row r="20" spans="1:2" ht="24.5" x14ac:dyDescent="1.35">
      <c r="A20" s="11" t="s">
        <v>53</v>
      </c>
      <c r="B20" s="12">
        <f>1-_xlfn.EXPON.DIST(B12,B13,TRUE)</f>
        <v>0.36787944117144233</v>
      </c>
    </row>
    <row r="22" spans="1:2" ht="21.75" thickBot="1" x14ac:dyDescent="1.1499999999999999">
      <c r="A22" s="6" t="s">
        <v>18</v>
      </c>
      <c r="B22" s="6"/>
    </row>
    <row r="23" spans="1:2" ht="21.75" thickTop="1" x14ac:dyDescent="1"/>
    <row r="24" spans="1:2" ht="24.5" x14ac:dyDescent="1.35">
      <c r="A24" s="11" t="s">
        <v>54</v>
      </c>
      <c r="B24" s="12" t="s">
        <v>58</v>
      </c>
    </row>
    <row r="25" spans="1:2" ht="24.5" x14ac:dyDescent="1.35">
      <c r="A25" s="11" t="s">
        <v>54</v>
      </c>
      <c r="B25" s="12">
        <f>_xlfn.EXPON.DIST(1000,B13,TRUE)</f>
        <v>9.5162581964040427E-2</v>
      </c>
    </row>
    <row r="27" spans="1:2" ht="21.75" thickBot="1" x14ac:dyDescent="1.1499999999999999">
      <c r="A27" s="6" t="s">
        <v>26</v>
      </c>
      <c r="B27" s="6"/>
    </row>
    <row r="28" spans="1:2" ht="21.75" thickTop="1" x14ac:dyDescent="1"/>
    <row r="29" spans="1:2" ht="24.5" x14ac:dyDescent="1.35">
      <c r="A29" s="11" t="s">
        <v>55</v>
      </c>
      <c r="B29" s="12" t="s">
        <v>59</v>
      </c>
    </row>
    <row r="30" spans="1:2" ht="24.5" x14ac:dyDescent="1.35">
      <c r="A30" s="11" t="s">
        <v>55</v>
      </c>
      <c r="B30" s="12">
        <f>_xlfn.EXPON.DIST(11000,B13,TRUE)-_xlfn.EXPON.DIST(10000,B13,TRUE)</f>
        <v>3.5008357473362839E-2</v>
      </c>
    </row>
    <row r="32" spans="1:2" ht="21.75" thickBot="1" x14ac:dyDescent="1.1499999999999999">
      <c r="A32" s="6" t="s">
        <v>41</v>
      </c>
      <c r="B32" s="6"/>
    </row>
    <row r="33" spans="1:2" ht="21.75" thickTop="1" x14ac:dyDescent="1"/>
    <row r="34" spans="1:2" ht="24.5" x14ac:dyDescent="1.35">
      <c r="A34" s="11" t="s">
        <v>60</v>
      </c>
      <c r="B34" s="12" t="s">
        <v>62</v>
      </c>
    </row>
    <row r="35" spans="1:2" x14ac:dyDescent="1">
      <c r="A35" s="11" t="s">
        <v>61</v>
      </c>
      <c r="B35" s="12">
        <f>B30/B20</f>
        <v>9.5162581964040621E-2</v>
      </c>
    </row>
    <row r="37" spans="1:2" ht="21.75" thickBot="1" x14ac:dyDescent="1.1499999999999999">
      <c r="A37" s="6" t="s">
        <v>45</v>
      </c>
      <c r="B37" s="6"/>
    </row>
    <row r="38" spans="1:2" ht="21.75" thickTop="1" x14ac:dyDescent="1"/>
  </sheetData>
  <mergeCells count="1">
    <mergeCell ref="B15:E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07506-0B0F-44E3-A71C-F2C2CDC08FDA}">
  <dimension ref="A11:I29"/>
  <sheetViews>
    <sheetView tabSelected="1" topLeftCell="C14" workbookViewId="0">
      <selection activeCell="I28" sqref="I28"/>
    </sheetView>
  </sheetViews>
  <sheetFormatPr baseColWidth="10" defaultColWidth="11.40625" defaultRowHeight="21" x14ac:dyDescent="1"/>
  <cols>
    <col min="1" max="1" width="22.26953125" style="4" bestFit="1" customWidth="1"/>
    <col min="2" max="2" width="18.7265625" style="4" bestFit="1" customWidth="1"/>
    <col min="3" max="4" width="11.40625" style="4"/>
    <col min="5" max="5" width="22.26953125" style="4" bestFit="1" customWidth="1"/>
    <col min="6" max="6" width="18.7265625" style="4" bestFit="1" customWidth="1"/>
    <col min="7" max="16384" width="11.40625" style="4"/>
  </cols>
  <sheetData>
    <row r="11" spans="1:6" ht="21.75" x14ac:dyDescent="1.1000000000000001">
      <c r="A11" s="1" t="s">
        <v>12</v>
      </c>
      <c r="B11" s="13" t="s">
        <v>63</v>
      </c>
      <c r="C11" s="13"/>
      <c r="D11" s="13"/>
      <c r="E11" s="13"/>
    </row>
    <row r="12" spans="1:6" ht="21.75" x14ac:dyDescent="1.1000000000000001">
      <c r="A12" s="1" t="s">
        <v>16</v>
      </c>
      <c r="B12" s="3">
        <v>65</v>
      </c>
      <c r="C12" s="4" t="s">
        <v>64</v>
      </c>
    </row>
    <row r="13" spans="1:6" ht="21.75" x14ac:dyDescent="1.1000000000000001">
      <c r="A13" s="1" t="s">
        <v>17</v>
      </c>
      <c r="B13" s="3">
        <v>15</v>
      </c>
      <c r="C13" s="4" t="s">
        <v>64</v>
      </c>
    </row>
    <row r="16" spans="1:6" ht="21.75" thickBot="1" x14ac:dyDescent="1.1499999999999999">
      <c r="A16" s="6" t="s">
        <v>11</v>
      </c>
      <c r="B16" s="6"/>
      <c r="E16" s="6" t="s">
        <v>18</v>
      </c>
      <c r="F16" s="6"/>
    </row>
    <row r="17" spans="1:9" ht="21.75" thickTop="1" x14ac:dyDescent="1"/>
    <row r="18" spans="1:9" ht="24.5" x14ac:dyDescent="1.35">
      <c r="A18" s="11" t="s">
        <v>53</v>
      </c>
      <c r="B18" s="12" t="s">
        <v>71</v>
      </c>
      <c r="E18" s="1" t="s">
        <v>12</v>
      </c>
      <c r="F18" s="13" t="s">
        <v>65</v>
      </c>
      <c r="G18" s="13"/>
      <c r="H18" s="13"/>
      <c r="I18" s="13"/>
    </row>
    <row r="19" spans="1:9" ht="24.5" x14ac:dyDescent="1.35">
      <c r="A19" s="11" t="s">
        <v>53</v>
      </c>
      <c r="B19" s="12">
        <f>1-_xlfn.NORM.S.DIST((80-65)/15,TRUE)</f>
        <v>0.15865525393145696</v>
      </c>
      <c r="E19" s="11" t="s">
        <v>52</v>
      </c>
      <c r="F19" s="12" t="s">
        <v>66</v>
      </c>
    </row>
    <row r="20" spans="1:9" ht="24.5" x14ac:dyDescent="1.35">
      <c r="A20" s="11" t="s">
        <v>53</v>
      </c>
      <c r="B20" s="12">
        <f>1-_xlfn.NORM.DIST(80,B12,B13,TRUE)</f>
        <v>0.15865525393145696</v>
      </c>
      <c r="E20" s="11" t="s">
        <v>52</v>
      </c>
      <c r="F20" s="12">
        <f>_xlfn.NORM.DIST(75,B12,B13,TRUE)-_xlfn.NORM.DIST(60,B12,B13,TRUE)</f>
        <v>0.37806612227131348</v>
      </c>
    </row>
    <row r="21" spans="1:9" ht="24.5" x14ac:dyDescent="1.35">
      <c r="E21" s="11" t="s">
        <v>54</v>
      </c>
      <c r="F21" s="12" t="s">
        <v>67</v>
      </c>
    </row>
    <row r="22" spans="1:9" ht="24.5" x14ac:dyDescent="1.35">
      <c r="E22" s="11" t="s">
        <v>54</v>
      </c>
      <c r="F22" s="12">
        <f>_xlfn.BINOM.DIST(4,7,F20,FALSE)</f>
        <v>0.17201714619337158</v>
      </c>
    </row>
    <row r="25" spans="1:9" ht="21.75" thickBot="1" x14ac:dyDescent="1.1499999999999999">
      <c r="A25" s="6" t="s">
        <v>26</v>
      </c>
      <c r="B25" s="6"/>
      <c r="E25" s="6" t="s">
        <v>41</v>
      </c>
      <c r="F25" s="6"/>
      <c r="H25" s="6" t="s">
        <v>45</v>
      </c>
      <c r="I25" s="6"/>
    </row>
    <row r="26" spans="1:9" ht="21.75" thickTop="1" x14ac:dyDescent="1"/>
    <row r="27" spans="1:9" ht="24.5" x14ac:dyDescent="1.35">
      <c r="A27" s="11" t="s">
        <v>69</v>
      </c>
      <c r="B27" s="12" t="s">
        <v>68</v>
      </c>
      <c r="E27" s="11" t="s">
        <v>60</v>
      </c>
      <c r="F27" s="12">
        <f>COMBIN(5,2)*COMBIN(2,1)/COMBIN(7,3)</f>
        <v>0.5714285714285714</v>
      </c>
      <c r="H27" s="11" t="s">
        <v>56</v>
      </c>
      <c r="I27" s="12">
        <f>B28*B28*B28</f>
        <v>0.24056511121170709</v>
      </c>
    </row>
    <row r="28" spans="1:9" x14ac:dyDescent="1">
      <c r="A28" s="11" t="s">
        <v>69</v>
      </c>
      <c r="B28" s="12">
        <f>1-F20</f>
        <v>0.62193387772868647</v>
      </c>
    </row>
    <row r="29" spans="1:9" x14ac:dyDescent="1">
      <c r="A29" s="11" t="s">
        <v>70</v>
      </c>
      <c r="B29" s="12">
        <f>7*B28</f>
        <v>4.3535371441008053</v>
      </c>
    </row>
  </sheetData>
  <mergeCells count="2">
    <mergeCell ref="B11:E11"/>
    <mergeCell ref="F18:I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C40533B-D5F6-446A-AA80-B07772C3B9B6}"/>
</file>

<file path=customXml/itemProps2.xml><?xml version="1.0" encoding="utf-8"?>
<ds:datastoreItem xmlns:ds="http://schemas.openxmlformats.org/officeDocument/2006/customXml" ds:itemID="{176EC201-BC28-4546-8618-A04A791836C1}"/>
</file>

<file path=customXml/itemProps3.xml><?xml version="1.0" encoding="utf-8"?>
<ds:datastoreItem xmlns:ds="http://schemas.openxmlformats.org/officeDocument/2006/customXml" ds:itemID="{F424F8A4-A860-4C14-A397-40D0087EC7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6.2</vt:lpstr>
      <vt:lpstr>6.7</vt:lpstr>
      <vt:lpstr>6.9</vt:lpstr>
      <vt:lpstr>6.12</vt:lpstr>
      <vt:lpstr>6.15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dc:creator>
  <cp:lastModifiedBy>Rosa Ríos Prado</cp:lastModifiedBy>
  <dcterms:created xsi:type="dcterms:W3CDTF">2015-06-05T18:19:34Z</dcterms:created>
  <dcterms:modified xsi:type="dcterms:W3CDTF">2026-03-15T17:08:21Z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