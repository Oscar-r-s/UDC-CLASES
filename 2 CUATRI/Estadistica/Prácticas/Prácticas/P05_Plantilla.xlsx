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udcgal-my.sharepoint.com/personal/rosa_rios_udc_es/Documents/Clases/Estadistica/Problemas semanales/"/>
    </mc:Choice>
  </mc:AlternateContent>
  <xr:revisionPtr revIDLastSave="21" documentId="8_{C72E0E54-A397-43D8-9359-5D567D480554}" xr6:coauthVersionLast="47" xr6:coauthVersionMax="47" xr10:uidLastSave="{357BC26B-DDCB-4688-A393-9FBF4A69E93F}"/>
  <bookViews>
    <workbookView xWindow="-90" yWindow="-90" windowWidth="19380" windowHeight="11460" activeTab="3" xr2:uid="{68C9F3CB-5CA4-4FA8-A7D4-AEF9DAD6A86E}"/>
  </bookViews>
  <sheets>
    <sheet name="E1" sheetId="1" r:id="rId1"/>
    <sheet name="E2" sheetId="2" r:id="rId2"/>
    <sheet name="E3" sheetId="3" r:id="rId3"/>
    <sheet name="E4"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 l="1"/>
  <c r="G5" i="1" l="1"/>
  <c r="H5" i="1"/>
  <c r="E6" i="1"/>
  <c r="G6" i="1" s="1"/>
  <c r="F6" i="1"/>
  <c r="F7" i="1" s="1"/>
  <c r="F8" i="1" s="1"/>
  <c r="F9" i="1" s="1"/>
  <c r="F10" i="1" s="1"/>
  <c r="F11" i="1" s="1"/>
  <c r="F12" i="1" s="1"/>
  <c r="F13" i="1" s="1"/>
  <c r="F14" i="1" s="1"/>
  <c r="F15" i="1" s="1"/>
  <c r="F16" i="1" s="1"/>
  <c r="F17" i="1" s="1"/>
  <c r="F18" i="1" s="1"/>
  <c r="F19" i="1" s="1"/>
  <c r="F20" i="1" s="1"/>
  <c r="F21" i="1" s="1"/>
  <c r="F22" i="1" s="1"/>
  <c r="F23" i="1" s="1"/>
  <c r="F24" i="1" s="1"/>
  <c r="H6" i="1" l="1"/>
  <c r="E7" i="1"/>
  <c r="G7" i="1" l="1"/>
  <c r="H7" i="1"/>
  <c r="E8" i="1"/>
  <c r="G8" i="1" l="1"/>
  <c r="H8" i="1"/>
  <c r="E9" i="1"/>
  <c r="G9" i="1" l="1"/>
  <c r="H9" i="1"/>
  <c r="E10" i="1"/>
  <c r="G10" i="1" l="1"/>
  <c r="E11" i="1"/>
  <c r="H10" i="1"/>
  <c r="G11" i="1" l="1"/>
  <c r="H11" i="1"/>
  <c r="E12" i="1"/>
  <c r="G12" i="1" l="1"/>
  <c r="E13" i="1"/>
  <c r="H12" i="1"/>
  <c r="G13" i="1" l="1"/>
  <c r="H13" i="1"/>
  <c r="E14" i="1"/>
  <c r="G14" i="1" l="1"/>
  <c r="E15" i="1"/>
  <c r="H14" i="1"/>
  <c r="G15" i="1" l="1"/>
  <c r="H15" i="1"/>
  <c r="E16" i="1"/>
  <c r="G16" i="1" l="1"/>
  <c r="H16" i="1"/>
  <c r="E17" i="1"/>
  <c r="G17" i="1" l="1"/>
  <c r="H17" i="1"/>
  <c r="E18" i="1"/>
  <c r="G18" i="1" l="1"/>
  <c r="E19" i="1"/>
  <c r="H18" i="1"/>
  <c r="G19" i="1" l="1"/>
  <c r="H19" i="1"/>
  <c r="E20" i="1"/>
  <c r="G20" i="1" l="1"/>
  <c r="E21" i="1"/>
  <c r="H20" i="1"/>
  <c r="G21" i="1" l="1"/>
  <c r="H21" i="1"/>
  <c r="E22" i="1"/>
  <c r="G22" i="1" l="1"/>
  <c r="H22" i="1"/>
  <c r="E23" i="1"/>
  <c r="G23" i="1" l="1"/>
  <c r="H23" i="1"/>
  <c r="E24" i="1"/>
  <c r="G24" i="1" l="1"/>
  <c r="H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Diego Crespo Pereira</author>
  </authors>
  <commentList>
    <comment ref="D10" authorId="0" shapeId="0" xr:uid="{00000000-0006-0000-0000-000001000000}">
      <text>
        <r>
          <rPr>
            <b/>
            <sz val="9"/>
            <color indexed="81"/>
            <rFont val="Tahoma"/>
            <family val="2"/>
          </rPr>
          <t>Diego Crespo Pereira:</t>
        </r>
        <r>
          <rPr>
            <sz val="9"/>
            <color indexed="81"/>
            <rFont val="Tahoma"/>
            <family val="2"/>
          </rPr>
          <t xml:space="preserve">
Probabilidad acumulada hasta un valor</t>
        </r>
      </text>
    </comment>
    <comment ref="F10" authorId="0" shapeId="0" xr:uid="{00000000-0006-0000-0000-000002000000}">
      <text>
        <r>
          <rPr>
            <b/>
            <sz val="9"/>
            <color indexed="81"/>
            <rFont val="Tahoma"/>
            <family val="2"/>
          </rPr>
          <t>Diego Crespo Pereira:</t>
        </r>
        <r>
          <rPr>
            <sz val="9"/>
            <color indexed="81"/>
            <rFont val="Tahoma"/>
            <family val="2"/>
          </rPr>
          <t xml:space="preserve">
Función de distribución</t>
        </r>
      </text>
    </comment>
    <comment ref="D11" authorId="0" shapeId="0" xr:uid="{00000000-0006-0000-0000-000003000000}">
      <text>
        <r>
          <rPr>
            <b/>
            <sz val="9"/>
            <color indexed="81"/>
            <rFont val="Tahoma"/>
            <family val="2"/>
          </rPr>
          <t>Diego Crespo Pereira:</t>
        </r>
        <r>
          <rPr>
            <sz val="9"/>
            <color indexed="81"/>
            <rFont val="Tahoma"/>
            <family val="2"/>
          </rPr>
          <t xml:space="preserve">
Probabilidad del valor introducido</t>
        </r>
      </text>
    </comment>
    <comment ref="F11" authorId="0" shapeId="0" xr:uid="{00000000-0006-0000-0000-000004000000}">
      <text>
        <r>
          <rPr>
            <b/>
            <sz val="9"/>
            <color indexed="81"/>
            <rFont val="Tahoma"/>
            <family val="2"/>
          </rPr>
          <t>Diego Crespo Pereira:</t>
        </r>
        <r>
          <rPr>
            <sz val="9"/>
            <color indexed="81"/>
            <rFont val="Tahoma"/>
            <family val="2"/>
          </rPr>
          <t xml:space="preserve">
Función de densidad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Diego CP</author>
  </authors>
  <commentList>
    <comment ref="A20" authorId="0" shapeId="0" xr:uid="{68CD7185-348F-44C8-8B9D-EDCAB6CF5A2A}">
      <text>
        <r>
          <rPr>
            <b/>
            <sz val="9"/>
            <color indexed="81"/>
            <rFont val="Tahoma"/>
            <family val="2"/>
          </rPr>
          <t>Diego CP:</t>
        </r>
        <r>
          <rPr>
            <sz val="9"/>
            <color indexed="81"/>
            <rFont val="Tahoma"/>
            <family val="2"/>
          </rPr>
          <t xml:space="preserve">
Cantidad máxima de piezas defectuosas admitido por el cliente en función del tamaño de lote y del % de defectuosas admisible</t>
        </r>
      </text>
    </comment>
    <comment ref="A21" authorId="0" shapeId="0" xr:uid="{205DBDDA-AF2A-4A8E-ADB9-A8025D103122}">
      <text>
        <r>
          <rPr>
            <b/>
            <sz val="9"/>
            <color indexed="81"/>
            <rFont val="Tahoma"/>
            <family val="2"/>
          </rPr>
          <t>Diego CP:</t>
        </r>
        <r>
          <rPr>
            <sz val="9"/>
            <color indexed="81"/>
            <rFont val="Tahoma"/>
            <family val="2"/>
          </rPr>
          <t xml:space="preserve">
El lote es rechazado si el nº de piezas defectuosas supera el límite.
Sea X: nº piezas defectuosas en un lote.
P(lote rechazado) = P(X &gt; Limite defectuosas en el lote)
X ~ Distribución binomial con n=tamaño lote &amp; p= tasa de fallos.</t>
        </r>
      </text>
    </comment>
    <comment ref="A26" authorId="0" shapeId="0" xr:uid="{D6C07A76-958F-48B2-BC66-666BAA264BFB}">
      <text>
        <r>
          <rPr>
            <b/>
            <sz val="9"/>
            <color indexed="81"/>
            <rFont val="Tahoma"/>
            <family val="2"/>
          </rPr>
          <t>Diego CP:</t>
        </r>
        <r>
          <rPr>
            <sz val="9"/>
            <color indexed="81"/>
            <rFont val="Tahoma"/>
            <family val="2"/>
          </rPr>
          <t xml:space="preserve">
Total de piezas acumuladas = Tamaño del lote * (1 + % margen de seguridad)</t>
        </r>
      </text>
    </comment>
    <comment ref="A27" authorId="0" shapeId="0" xr:uid="{27FF2FF8-DD50-4FD2-A3D5-65AB427D1CBA}">
      <text>
        <r>
          <rPr>
            <b/>
            <sz val="9"/>
            <color indexed="81"/>
            <rFont val="Tahoma"/>
            <family val="2"/>
          </rPr>
          <t>Diego CP:</t>
        </r>
        <r>
          <rPr>
            <sz val="9"/>
            <color indexed="81"/>
            <rFont val="Tahoma"/>
            <family val="2"/>
          </rPr>
          <t xml:space="preserve">
Sea X el nº de piezas consumidas durante el intervalo de tiempo entre dos envíos.
P(desabastecimiento) = P(X &gt; total de piezas acumuladas)
X ~ Distribución de Poisson con parámetro media = Tamaño del lote. (Ya que por término medio durante el intervalo entre envíos se consume el tamaño del lote).
</t>
        </r>
      </text>
    </comment>
  </commentList>
</comments>
</file>

<file path=xl/sharedStrings.xml><?xml version="1.0" encoding="utf-8"?>
<sst xmlns="http://schemas.openxmlformats.org/spreadsheetml/2006/main" count="147" uniqueCount="107">
  <si>
    <t>3- Para que los valores no se regeneren de cada vez, copiar la columna U(0,1) y pegar sobre ella misma con PEGADO ESPECIAL-&gt;Pegar Valores</t>
  </si>
  <si>
    <t>2- En la columna N(10,3) usar la distribución normal inversa para transformar los números aleatorios con distribución uniforme en una normal de media 10 y desviación 3</t>
  </si>
  <si>
    <t>1- En la columna U(0,1) generar números aleatorios entre 0 y 1 con la función ALEATORIO()</t>
  </si>
  <si>
    <t>PASOS</t>
  </si>
  <si>
    <t>Freq.</t>
  </si>
  <si>
    <t>Intervalo</t>
  </si>
  <si>
    <t>Lím Sup</t>
  </si>
  <si>
    <t>Lím Inf</t>
  </si>
  <si>
    <t>N(10,3)</t>
  </si>
  <si>
    <t>U(0,1)</t>
  </si>
  <si>
    <t>n</t>
  </si>
  <si>
    <t>Generar 50 números aleatorios con distribución N(10,3)</t>
  </si>
  <si>
    <t>Generación de Números Aleatorios</t>
  </si>
  <si>
    <t>P(x1&lt;=X&lt;=x3)</t>
  </si>
  <si>
    <t>P(X&lt;=x1)</t>
  </si>
  <si>
    <t>F(x2)</t>
  </si>
  <si>
    <t>F(x1)</t>
  </si>
  <si>
    <t>f(x1)</t>
  </si>
  <si>
    <t>Lambda</t>
  </si>
  <si>
    <t>x2</t>
  </si>
  <si>
    <t>x1</t>
  </si>
  <si>
    <t>Los argumentos son:</t>
  </si>
  <si>
    <t>Usar la función DISTR.EXP.N</t>
  </si>
  <si>
    <t>Distribución Exponencial</t>
  </si>
  <si>
    <t>P(X&lt;=x2 | x1&lt;=X&lt;=x3)</t>
  </si>
  <si>
    <t>P(X&gt;x2 | X&gt;x1)</t>
  </si>
  <si>
    <t>P(X&gt;x2 | X&lt;=k3)</t>
  </si>
  <si>
    <t>P(X&gt;=x2)</t>
  </si>
  <si>
    <t>P(X&lt;x1)</t>
  </si>
  <si>
    <t>F(x3)</t>
  </si>
  <si>
    <t>Sigma</t>
  </si>
  <si>
    <t>Media</t>
  </si>
  <si>
    <t>x3</t>
  </si>
  <si>
    <t>Desviación</t>
  </si>
  <si>
    <t>Usar la función DISTR.NORM.N</t>
  </si>
  <si>
    <t>Distribución Normal</t>
  </si>
  <si>
    <t>P(X&lt;=k2 | X&gt;=k1)</t>
  </si>
  <si>
    <t>P(k1&lt;=X&lt;=k2)</t>
  </si>
  <si>
    <t>P(X&gt;=k1)</t>
  </si>
  <si>
    <t>P(X&lt;=k2)</t>
  </si>
  <si>
    <t>P(X&lt;=k1)</t>
  </si>
  <si>
    <t>P(X=k1)</t>
  </si>
  <si>
    <t>media</t>
  </si>
  <si>
    <t>k2</t>
  </si>
  <si>
    <t>Media -&gt; Parámetro Lambda de la distribución de Poisson</t>
  </si>
  <si>
    <t>k1</t>
  </si>
  <si>
    <t>Usar la función POISSON.DIST</t>
  </si>
  <si>
    <t>Distribución de Poisson</t>
  </si>
  <si>
    <t>P(X&gt;=k3 | X&gt;k1)</t>
  </si>
  <si>
    <t>P(X&gt;k2 | k1&lt;=X&lt;=k3)</t>
  </si>
  <si>
    <t>P(X&lt;k2 | X&lt;=k3)</t>
  </si>
  <si>
    <t>P(k1&lt;=X&lt;=k3)</t>
  </si>
  <si>
    <t>P(X&gt;k1)</t>
  </si>
  <si>
    <t>P(X&lt;k1)</t>
  </si>
  <si>
    <t>P(X&lt;=k3)</t>
  </si>
  <si>
    <t>Prob_exito -&gt; El parámetro p</t>
  </si>
  <si>
    <t>Ensayos -&gt; El parámetro n</t>
  </si>
  <si>
    <t>Núm. Éxitos -&gt; El valor de X para el cual quiere calcular la probabilidad</t>
  </si>
  <si>
    <t>Calcular:</t>
  </si>
  <si>
    <t>Usar la función DISTR:BINOM.N</t>
  </si>
  <si>
    <t>Sea la variable aleatoria X~B(n, p)</t>
  </si>
  <si>
    <t>p</t>
  </si>
  <si>
    <t>k3</t>
  </si>
  <si>
    <t>Distribución Binomial</t>
  </si>
  <si>
    <t>f(x)</t>
  </si>
  <si>
    <t>P(X=k)</t>
  </si>
  <si>
    <t>F(x)</t>
  </si>
  <si>
    <t>P(X&lt;=k)</t>
  </si>
  <si>
    <t>Distribución Discreta</t>
  </si>
  <si>
    <t>Distribución Continua</t>
  </si>
  <si>
    <t>Valor de ACUMULADO</t>
  </si>
  <si>
    <t>Según la distribución sea continua o discreta el argumento ACUMULADO tiene la siguiente función:</t>
  </si>
  <si>
    <t>El argumento ACUMULADO que puede ser VERDADERO o FALSO</t>
  </si>
  <si>
    <t>Los parámetros de la distribución.</t>
  </si>
  <si>
    <t>El valor para el cual se quiere calcular la probabilidad.</t>
  </si>
  <si>
    <t>Los argumentos de estas funciones son:</t>
  </si>
  <si>
    <t>La mayor parte de distribuciones en Excel se calculan mediante funciones que empiezan por "DISTR.".</t>
  </si>
  <si>
    <t>Cálculo con Distribuciones</t>
  </si>
  <si>
    <t>Gráficas de Distribuciones</t>
  </si>
  <si>
    <t>Distribuciones Discretas</t>
  </si>
  <si>
    <t>Binomial</t>
  </si>
  <si>
    <t>Poisson</t>
  </si>
  <si>
    <t>k</t>
  </si>
  <si>
    <t>B(n, p)</t>
  </si>
  <si>
    <t>Distribuciones Continuas</t>
  </si>
  <si>
    <t>Normal</t>
  </si>
  <si>
    <t>Exponencial</t>
  </si>
  <si>
    <t>x</t>
  </si>
  <si>
    <t>i) Probabilidad de que un lote sea rechazado</t>
  </si>
  <si>
    <t>A</t>
  </si>
  <si>
    <t>B</t>
  </si>
  <si>
    <t>C</t>
  </si>
  <si>
    <t>n·p</t>
  </si>
  <si>
    <t>P(lote rechazado)</t>
  </si>
  <si>
    <t>ii) Probabilidad de rotura de stock</t>
  </si>
  <si>
    <t>Margen de seguridad</t>
  </si>
  <si>
    <t>Total de piezas acumuladas</t>
  </si>
  <si>
    <t>Probabilidad de desabastecimiento</t>
  </si>
  <si>
    <t>iii) Probabilidad de desabastecimiento</t>
  </si>
  <si>
    <t>Exceso de seguridad</t>
  </si>
  <si>
    <t>Probabilidad desabast.</t>
  </si>
  <si>
    <t>Tasa fallos (p)</t>
  </si>
  <si>
    <t>D</t>
  </si>
  <si>
    <t>E</t>
  </si>
  <si>
    <t>Tamaño de lote (n)</t>
  </si>
  <si>
    <t>Límite defectuosas (%)</t>
  </si>
  <si>
    <t>Límite defectuosas en el lote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</si>
</sst>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x14ac:knownFonts="1">
    <font>
      <sz val="11"/>
      <color theme="1"/>
      <name val="Calibri"/>
      <family val="2"/>
      <scheme val="minor"/>
    </font>
    <font>
      <sz val="11"/>
      <color theme="1"/>
      <name val="Calibri"/>
      <family val="2"/>
      <scheme val="minor"/>
    </font>
    <font>
      <sz val="18"/>
      <color theme="3"/>
      <name val="Cambria"/>
      <family val="2"/>
      <scheme val="major"/>
    </font>
    <font>
      <b/>
      <sz val="13"/>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s>
  <borders count="5">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1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4" fillId="0" borderId="0" applyNumberFormat="0" applyFill="0" applyBorder="0" applyAlignment="0" applyProtection="0"/>
    <xf numFmtId="0" fontId="5" fillId="2" borderId="3" applyNumberFormat="0" applyAlignment="0" applyProtection="0"/>
    <xf numFmtId="0" fontId="6" fillId="3" borderId="4" applyNumberFormat="0" applyAlignment="0" applyProtection="0"/>
    <xf numFmtId="0" fontId="7" fillId="0" borderId="0" applyNumberFormat="0" applyFill="0" applyBorder="0" applyAlignment="0" applyProtection="0"/>
    <xf numFmtId="0" fontId="9"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9"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9" fillId="7" borderId="0" applyNumberFormat="0" applyBorder="0" applyAlignment="0" applyProtection="0"/>
  </cellStyleXfs>
  <cellXfs count="29">
    <xf numFmtId="0" fontId="0" fillId="0" borderId="0" xfId="0"/>
    <xf numFmtId="0" fontId="6" fillId="3" borderId="4" xfId="6"/>
    <xf numFmtId="0" fontId="8" fillId="0" borderId="0" xfId="0" applyFont="1"/>
    <xf numFmtId="0" fontId="9" fillId="4" borderId="0" xfId="8" applyAlignment="1">
      <alignment horizontal="center"/>
    </xf>
    <xf numFmtId="0" fontId="4" fillId="0" borderId="0" xfId="4"/>
    <xf numFmtId="0" fontId="2" fillId="0" borderId="0" xfId="1"/>
    <xf numFmtId="0" fontId="9" fillId="4" borderId="0" xfId="8"/>
    <xf numFmtId="0" fontId="5" fillId="2" borderId="3" xfId="5"/>
    <xf numFmtId="0" fontId="7" fillId="0" borderId="0" xfId="7"/>
    <xf numFmtId="0" fontId="9" fillId="7" borderId="0" xfId="14"/>
    <xf numFmtId="10" fontId="5" fillId="2" borderId="3" xfId="5" applyNumberFormat="1"/>
    <xf numFmtId="0" fontId="3" fillId="0" borderId="1" xfId="2"/>
    <xf numFmtId="0" fontId="0" fillId="0" borderId="0" xfId="0" applyAlignment="1">
      <alignment wrapText="1"/>
    </xf>
    <xf numFmtId="9" fontId="5" fillId="2" borderId="3" xfId="5" applyNumberFormat="1"/>
    <xf numFmtId="0" fontId="1" fillId="10" borderId="0" xfId="13" applyAlignment="1">
      <alignment wrapText="1"/>
    </xf>
    <xf numFmtId="164" fontId="6" fillId="3" borderId="4" xfId="6" applyNumberFormat="1"/>
    <xf numFmtId="0" fontId="0" fillId="6" borderId="0" xfId="10" applyFont="1" applyAlignment="1">
      <alignment wrapText="1"/>
    </xf>
    <xf numFmtId="0" fontId="1" fillId="6" borderId="0" xfId="10" applyAlignment="1">
      <alignment horizontal="center"/>
    </xf>
    <xf numFmtId="9" fontId="1" fillId="5" borderId="0" xfId="9" applyNumberFormat="1"/>
    <xf numFmtId="0" fontId="0" fillId="10" borderId="0" xfId="13" applyFont="1" applyAlignment="1">
      <alignment wrapText="1"/>
    </xf>
    <xf numFmtId="0" fontId="1" fillId="9" borderId="0" xfId="12" applyAlignment="1">
      <alignment horizontal="center"/>
    </xf>
    <xf numFmtId="0" fontId="2" fillId="0" borderId="0" xfId="1" applyAlignment="1">
      <alignment horizontal="center"/>
    </xf>
    <xf numFmtId="0" fontId="9" fillId="8" borderId="0" xfId="11" applyAlignment="1">
      <alignment horizontal="center"/>
    </xf>
    <xf numFmtId="0" fontId="0" fillId="6" borderId="0" xfId="10" applyFont="1" applyAlignment="1">
      <alignment horizontal="center" vertical="center"/>
    </xf>
    <xf numFmtId="0" fontId="1" fillId="6" borderId="0" xfId="10" applyAlignment="1">
      <alignment horizontal="center" vertical="center"/>
    </xf>
    <xf numFmtId="0" fontId="9" fillId="4" borderId="0" xfId="8" applyAlignment="1">
      <alignment horizontal="center"/>
    </xf>
    <xf numFmtId="0" fontId="4" fillId="0" borderId="2" xfId="3" applyAlignment="1">
      <alignment horizontal="center"/>
    </xf>
    <xf numFmtId="0" fontId="9" fillId="4" borderId="0" xfId="8" applyAlignment="1">
      <alignment horizontal="left" vertical="center" wrapText="1"/>
    </xf>
    <xf numFmtId="0" fontId="9" fillId="4" borderId="0" xfId="8" applyAlignment="1">
      <alignment horizontal="center" wrapText="1"/>
    </xf>
  </cellXfs>
  <cellStyles count="15">
    <cellStyle name="20% - Énfasis1" xfId="9" builtinId="30"/>
    <cellStyle name="20% - Énfasis3" xfId="12" builtinId="38"/>
    <cellStyle name="40% - Énfasis1" xfId="10" builtinId="31"/>
    <cellStyle name="40% - Énfasis3" xfId="13" builtinId="39"/>
    <cellStyle name="60% - Énfasis1 2" xfId="14" xr:uid="{75E639F3-0D31-4D12-98CB-DF3B506F1DC8}"/>
    <cellStyle name="Encabezado 4" xfId="4" builtinId="19"/>
    <cellStyle name="Énfasis1" xfId="8" builtinId="29"/>
    <cellStyle name="Énfasis3" xfId="11" builtinId="37"/>
    <cellStyle name="Entrada" xfId="5" builtinId="20"/>
    <cellStyle name="Normal" xfId="0" builtinId="0"/>
    <cellStyle name="Salida" xfId="6" builtinId="21"/>
    <cellStyle name="Texto explicativo" xfId="7" builtinId="53"/>
    <cellStyle name="Título" xfId="1" builtinId="15"/>
    <cellStyle name="Título 2" xfId="2" builtinId="17"/>
    <cellStyle name="Título 3" xfId="3" builtin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'E1'!$H$4</c:f>
              <c:strCache>
                <c:ptCount val="1"/>
                <c:pt idx="0">
                  <c:v>Freq.</c:v>
                </c:pt>
              </c:strCache>
            </c:strRef>
          </c:tx>
          <c:spPr>
            <a:solidFill>
              <a:schemeClr val="accent1"/>
            </a:solidFill>
            <a:ln>
              <a:noFill/>
            </a:ln>
            <a:effectLst/>
          </c:spPr>
          <c:invertIfNegative val="0"/>
          <c:cat>
            <c:strRef>
              <c:f>'E1'!$G$5:$G$24</c:f>
              <c:strCache>
                <c:ptCount val="20"/>
                <c:pt idx="0">
                  <c:v>0-1</c:v>
                </c:pt>
                <c:pt idx="1">
                  <c:v>1-2</c:v>
                </c:pt>
                <c:pt idx="2">
                  <c:v>2-3</c:v>
                </c:pt>
                <c:pt idx="3">
                  <c:v>3-4</c:v>
                </c:pt>
                <c:pt idx="4">
                  <c:v>4-5</c:v>
                </c:pt>
                <c:pt idx="5">
                  <c:v>5-6</c:v>
                </c:pt>
                <c:pt idx="6">
                  <c:v>6-7</c:v>
                </c:pt>
                <c:pt idx="7">
                  <c:v>7-8</c:v>
                </c:pt>
                <c:pt idx="8">
                  <c:v>8-9</c:v>
                </c:pt>
                <c:pt idx="9">
                  <c:v>9-10</c:v>
                </c:pt>
                <c:pt idx="10">
                  <c:v>10-11</c:v>
                </c:pt>
                <c:pt idx="11">
                  <c:v>11-12</c:v>
                </c:pt>
                <c:pt idx="12">
                  <c:v>12-13</c:v>
                </c:pt>
                <c:pt idx="13">
                  <c:v>13-14</c:v>
                </c:pt>
                <c:pt idx="14">
                  <c:v>14-15</c:v>
                </c:pt>
                <c:pt idx="15">
                  <c:v>15-16</c:v>
                </c:pt>
                <c:pt idx="16">
                  <c:v>16-17</c:v>
                </c:pt>
                <c:pt idx="17">
                  <c:v>17-18</c:v>
                </c:pt>
                <c:pt idx="18">
                  <c:v>18-19</c:v>
                </c:pt>
                <c:pt idx="19">
                  <c:v>19-20</c:v>
                </c:pt>
              </c:strCache>
            </c:strRef>
          </c:cat>
          <c:val>
            <c:numRef>
              <c:f>'E1'!$H$5:$H$24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007-4F22-8A13-7596C35369E7}"/>
            </c:ext>
          </c:extLst>
        </c:ser>
        <c:dLbls>
          <c:showLegendKey val="0"/>
          <c:showVal val="0"/>
          <c:showCatName val="0"/>
          <c:showSerName val="0"/>
          <c:showPercent val="0"/>
          <c:showBubbleSize val="0"/>
        </c:dLbls>
        <c:gapWidth val="219"/>
        <c:overlap val="-27"/>
        <c:axId val="485851208"/>
        <c:axId val="485859440"/>
      </c:barChart>
      <c:catAx>
        <c:axId val="48585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5859440"/>
        <c:crosses val="autoZero"/>
        <c:auto val="1"/>
        <c:lblAlgn val="ctr"/>
        <c:lblOffset val="100"/>
        <c:noMultiLvlLbl val="0"/>
      </c:catAx>
      <c:valAx>
        <c:axId val="48585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5851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'E3'!$A$3</c:f>
          <c:strCache>
            <c:ptCount val="1"/>
            <c:pt idx="0">
              <c:v>Distribuciones Discretas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'E3'!$B$10</c:f>
              <c:strCache>
                <c:ptCount val="1"/>
                <c:pt idx="0">
                  <c:v>B(n, p)</c:v>
                </c:pt>
              </c:strCache>
            </c:strRef>
          </c:tx>
          <c:spPr>
            <a:solidFill>
              <a:schemeClr val="accent1"/>
            </a:solidFill>
            <a:ln>
              <a:noFill/>
            </a:ln>
            <a:effectLst/>
          </c:spPr>
          <c:invertIfNegative val="0"/>
          <c:val>
            <c:numRef>
              <c:f>'E3'!$B$11:$B$19</c:f>
              <c:numCache>
                <c:formatCode>General</c:formatCode>
                <c:ptCount val="9"/>
              </c:numCache>
            </c:numRef>
          </c:val>
          <c:extLst>
            <c:ext xmlns:c16="http://schemas.microsoft.com/office/drawing/2014/chart" uri="{C3380CC4-5D6E-409C-BE32-E72D297353CC}">
              <c16:uniqueId val="{00000000-E8EB-4ABE-BBF6-E04541AD7FF4}"/>
            </c:ext>
          </c:extLst>
        </c:ser>
        <c:ser>
          <c:idx val="1"/>
          <c:order val="1"/>
          <c:tx>
            <c:strRef>
              <c:f>'E3'!$C$10</c:f>
              <c:strCache>
                <c:ptCount val="1"/>
                <c:pt idx="0">
                  <c:v>Poisson</c:v>
                </c:pt>
              </c:strCache>
            </c:strRef>
          </c:tx>
          <c:spPr>
            <a:solidFill>
              <a:schemeClr val="accent2"/>
            </a:solidFill>
            <a:ln>
              <a:noFill/>
            </a:ln>
            <a:effectLst/>
          </c:spPr>
          <c:invertIfNegative val="0"/>
          <c:val>
            <c:numRef>
              <c:f>'E3'!$C$11:$C$19</c:f>
              <c:numCache>
                <c:formatCode>General</c:formatCode>
                <c:ptCount val="9"/>
              </c:numCache>
            </c:numRef>
          </c:val>
          <c:extLst>
            <c:ext xmlns:c16="http://schemas.microsoft.com/office/drawing/2014/chart" uri="{C3380CC4-5D6E-409C-BE32-E72D297353CC}">
              <c16:uniqueId val="{00000001-E8EB-4ABE-BBF6-E04541AD7FF4}"/>
            </c:ext>
          </c:extLst>
        </c:ser>
        <c:dLbls>
          <c:showLegendKey val="0"/>
          <c:showVal val="0"/>
          <c:showCatName val="0"/>
          <c:showSerName val="0"/>
          <c:showPercent val="0"/>
          <c:showBubbleSize val="0"/>
        </c:dLbls>
        <c:gapWidth val="219"/>
        <c:overlap val="-27"/>
        <c:axId val="301981856"/>
        <c:axId val="301972056"/>
      </c:barChart>
      <c:catAx>
        <c:axId val="301981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2056"/>
        <c:crosses val="autoZero"/>
        <c:auto val="1"/>
        <c:lblAlgn val="ctr"/>
        <c:lblOffset val="100"/>
        <c:noMultiLvlLbl val="0"/>
      </c:catAx>
      <c:valAx>
        <c:axId val="301972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8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'E3'!$A$21</c:f>
          <c:strCache>
            <c:ptCount val="1"/>
            <c:pt idx="0">
              <c:v>Distribuciones Continuas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'E3'!$B$28</c:f>
              <c:strCache>
                <c:ptCount val="1"/>
                <c:pt idx="0">
                  <c:v>Normal</c:v>
                </c:pt>
              </c:strCache>
            </c:strRef>
          </c:tx>
          <c:spPr>
            <a:ln w="28575" cap="rnd">
              <a:solidFill>
                <a:schemeClr val="accent1"/>
              </a:solidFill>
              <a:round/>
            </a:ln>
            <a:effectLst/>
          </c:spPr>
          <c:marker>
            <c:symbol val="none"/>
          </c:marker>
          <c:val>
            <c:numRef>
              <c:f>'E3'!$B$29:$B$129</c:f>
              <c:numCache>
                <c:formatCode>General</c:formatCode>
                <c:ptCount val="101"/>
              </c:numCache>
            </c:numRef>
          </c:val>
          <c:smooth val="0"/>
          <c:extLst>
            <c:ext xmlns:c16="http://schemas.microsoft.com/office/drawing/2014/chart" uri="{C3380CC4-5D6E-409C-BE32-E72D297353CC}">
              <c16:uniqueId val="{00000000-2692-4B42-96F7-5FAAC818E696}"/>
            </c:ext>
          </c:extLst>
        </c:ser>
        <c:ser>
          <c:idx val="1"/>
          <c:order val="1"/>
          <c:tx>
            <c:strRef>
              <c:f>'E3'!$C$28</c:f>
              <c:strCache>
                <c:ptCount val="1"/>
                <c:pt idx="0">
                  <c:v>Exponencial</c:v>
                </c:pt>
              </c:strCache>
            </c:strRef>
          </c:tx>
          <c:spPr>
            <a:ln w="28575" cap="rnd">
              <a:solidFill>
                <a:schemeClr val="accent2"/>
              </a:solidFill>
              <a:round/>
            </a:ln>
            <a:effectLst/>
          </c:spPr>
          <c:marker>
            <c:symbol val="none"/>
          </c:marker>
          <c:val>
            <c:numRef>
              <c:f>'E3'!$C$29:$C$129</c:f>
              <c:numCache>
                <c:formatCode>General</c:formatCode>
                <c:ptCount val="101"/>
              </c:numCache>
            </c:numRef>
          </c:val>
          <c:smooth val="0"/>
          <c:extLst>
            <c:ext xmlns:c16="http://schemas.microsoft.com/office/drawing/2014/chart" uri="{C3380CC4-5D6E-409C-BE32-E72D297353CC}">
              <c16:uniqueId val="{00000001-2692-4B42-96F7-5FAAC818E696}"/>
            </c:ext>
          </c:extLst>
        </c:ser>
        <c:dLbls>
          <c:showLegendKey val="0"/>
          <c:showVal val="0"/>
          <c:showCatName val="0"/>
          <c:showSerName val="0"/>
          <c:showPercent val="0"/>
          <c:showBubbleSize val="0"/>
        </c:dLbls>
        <c:smooth val="0"/>
        <c:axId val="301973232"/>
        <c:axId val="301973624"/>
      </c:lineChart>
      <c:catAx>
        <c:axId val="3019732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3624"/>
        <c:crosses val="autoZero"/>
        <c:auto val="1"/>
        <c:lblAlgn val="ctr"/>
        <c:lblOffset val="100"/>
        <c:noMultiLvlLbl val="0"/>
      </c:catAx>
      <c:valAx>
        <c:axId val="301973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3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P(Desabastecimiento)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'E4'!$B$31</c:f>
              <c:strCache>
                <c:ptCount val="1"/>
                <c:pt idx="0">
                  <c:v>A</c:v>
                </c:pt>
              </c:strCache>
            </c:strRef>
          </c:tx>
          <c:spPr>
            <a:ln w="28575" cap="rnd">
              <a:solidFill>
                <a:schemeClr val="accent1"/>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'E4'!$B$32:$B$56</c:f>
              <c:numCache>
                <c:formatCode>General</c:formatCode>
                <c:ptCount val="25"/>
              </c:numCache>
            </c:numRef>
          </c:val>
          <c:smooth val="0"/>
          <c:extLst>
            <c:ext xmlns:c16="http://schemas.microsoft.com/office/drawing/2014/chart" uri="{C3380CC4-5D6E-409C-BE32-E72D297353CC}">
              <c16:uniqueId val="{00000000-4A4C-4757-B5DA-09BB1A44B385}"/>
            </c:ext>
          </c:extLst>
        </c:ser>
        <c:ser>
          <c:idx val="1"/>
          <c:order val="1"/>
          <c:tx>
            <c:strRef>
              <c:f>'E4'!$C$31</c:f>
              <c:strCache>
                <c:ptCount val="1"/>
                <c:pt idx="0">
                  <c:v>B</c:v>
                </c:pt>
              </c:strCache>
            </c:strRef>
          </c:tx>
          <c:spPr>
            <a:ln w="28575" cap="rnd">
              <a:solidFill>
                <a:schemeClr val="accent2"/>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'E4'!$C$32:$C$56</c:f>
              <c:numCache>
                <c:formatCode>General</c:formatCode>
                <c:ptCount val="25"/>
              </c:numCache>
            </c:numRef>
          </c:val>
          <c:smooth val="0"/>
          <c:extLst>
            <c:ext xmlns:c16="http://schemas.microsoft.com/office/drawing/2014/chart" uri="{C3380CC4-5D6E-409C-BE32-E72D297353CC}">
              <c16:uniqueId val="{00000001-4A4C-4757-B5DA-09BB1A44B385}"/>
            </c:ext>
          </c:extLst>
        </c:ser>
        <c:ser>
          <c:idx val="2"/>
          <c:order val="2"/>
          <c:tx>
            <c:strRef>
              <c:f>'E4'!$D$31</c:f>
              <c:strCache>
                <c:ptCount val="1"/>
                <c:pt idx="0">
                  <c:v>C</c:v>
                </c:pt>
              </c:strCache>
            </c:strRef>
          </c:tx>
          <c:spPr>
            <a:ln w="28575" cap="rnd">
              <a:solidFill>
                <a:schemeClr val="accent3"/>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'E4'!$D$32:$D$56</c:f>
              <c:numCache>
                <c:formatCode>General</c:formatCode>
                <c:ptCount val="25"/>
              </c:numCache>
            </c:numRef>
          </c:val>
          <c:smooth val="0"/>
          <c:extLst>
            <c:ext xmlns:c16="http://schemas.microsoft.com/office/drawing/2014/chart" uri="{C3380CC4-5D6E-409C-BE32-E72D297353CC}">
              <c16:uniqueId val="{00000002-4A4C-4757-B5DA-09BB1A44B385}"/>
            </c:ext>
          </c:extLst>
        </c:ser>
        <c:ser>
          <c:idx val="3"/>
          <c:order val="3"/>
          <c:tx>
            <c:strRef>
              <c:f>'E4'!$E$31</c:f>
              <c:strCache>
                <c:ptCount val="1"/>
                <c:pt idx="0">
                  <c:v>D</c:v>
                </c:pt>
              </c:strCache>
            </c:strRef>
          </c:tx>
          <c:spPr>
            <a:ln w="28575" cap="rnd">
              <a:solidFill>
                <a:schemeClr val="accent4"/>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'E4'!$E$32:$E$56</c:f>
              <c:numCache>
                <c:formatCode>General</c:formatCode>
                <c:ptCount val="25"/>
              </c:numCache>
            </c:numRef>
          </c:val>
          <c:smooth val="0"/>
          <c:extLst>
            <c:ext xmlns:c16="http://schemas.microsoft.com/office/drawing/2014/chart" uri="{C3380CC4-5D6E-409C-BE32-E72D297353CC}">
              <c16:uniqueId val="{00000003-4A4C-4757-B5DA-09BB1A44B385}"/>
            </c:ext>
          </c:extLst>
        </c:ser>
        <c:ser>
          <c:idx val="4"/>
          <c:order val="4"/>
          <c:tx>
            <c:strRef>
              <c:f>'E4'!$F$31</c:f>
              <c:strCache>
                <c:ptCount val="1"/>
                <c:pt idx="0">
                  <c:v>E</c:v>
                </c:pt>
              </c:strCache>
            </c:strRef>
          </c:tx>
          <c:spPr>
            <a:ln w="28575" cap="rnd">
              <a:solidFill>
                <a:schemeClr val="accent5"/>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'E4'!$F$32:$F$56</c:f>
              <c:numCache>
                <c:formatCode>General</c:formatCode>
                <c:ptCount val="25"/>
              </c:numCache>
            </c:numRef>
          </c:val>
          <c:smooth val="0"/>
          <c:extLst>
            <c:ext xmlns:c16="http://schemas.microsoft.com/office/drawing/2014/chart" uri="{C3380CC4-5D6E-409C-BE32-E72D297353CC}">
              <c16:uniqueId val="{00000004-4A4C-4757-B5DA-09BB1A44B385}"/>
            </c:ext>
          </c:extLst>
        </c:ser>
        <c:dLbls>
          <c:showLegendKey val="0"/>
          <c:showVal val="0"/>
          <c:showCatName val="0"/>
          <c:showSerName val="0"/>
          <c:showPercent val="0"/>
          <c:showBubbleSize val="0"/>
        </c:dLbls>
        <c:smooth val="0"/>
        <c:axId val="284094688"/>
        <c:axId val="284091328"/>
      </c:lineChart>
      <c:catAx>
        <c:axId val="284094688"/>
        <c:scaling>
          <c:orientation val="minMax"/>
        </c:scaling>
        <c:delete val="0"/>
        <c:axPos val="b"/>
        <c:title>
          <c:tx>
            <c:strRef>
              <c:f>'E4'!$A$30:$A$31</c:f>
              <c:strCache>
                <c:ptCount val="2"/>
                <c:pt idx="0">
                  <c:v>Exceso de seguridad</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4091328"/>
        <c:crosses val="autoZero"/>
        <c:auto val="1"/>
        <c:lblAlgn val="ctr"/>
        <c:lblOffset val="100"/>
        <c:noMultiLvlLbl val="0"/>
      </c:catAx>
      <c:valAx>
        <c:axId val="28409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4094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3174</xdr:colOff>
      <xdr:row>25</xdr:row>
      <xdr:rowOff>12700</xdr:rowOff>
    </xdr:from>
    <xdr:to>
      <xdr:col>13</xdr:col>
      <xdr:colOff>355600</xdr:colOff>
      <xdr:row>41</xdr:row>
      <xdr:rowOff>6350</xdr:rowOff>
    </xdr:to>
    <xdr:graphicFrame macro="">
      <xdr:nvGraphicFramePr>
        <xdr:cNvPr id="2" name="Gráfico 1">
          <a:extLst>
            <a:ext uri="{FF2B5EF4-FFF2-40B4-BE49-F238E27FC236}">
              <a16:creationId xmlns:a16="http://schemas.microsoft.com/office/drawing/2014/main" id="{846EBBE3-CBC3-4365-81FE-29DA968A7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12700</xdr:colOff>
      <xdr:row>4</xdr:row>
      <xdr:rowOff>6351</xdr:rowOff>
    </xdr:from>
    <xdr:to>
      <xdr:col>13</xdr:col>
      <xdr:colOff>12700</xdr:colOff>
      <xdr:row>19</xdr:row>
      <xdr:rowOff>12701</xdr:rowOff>
    </xdr:to>
    <xdr:graphicFrame macro="">
      <xdr:nvGraphicFramePr>
        <xdr:cNvPr id="2" name="Gráfico 1">
          <a:extLst>
            <a:ext uri="{FF2B5EF4-FFF2-40B4-BE49-F238E27FC236}">
              <a16:creationId xmlns:a16="http://schemas.microsoft.com/office/drawing/2014/main" id="{1DEEE063-2510-40AC-A742-A74F3B875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26</xdr:row>
      <xdr:rowOff>0</xdr:rowOff>
    </xdr:from>
    <xdr:to>
      <xdr:col>10</xdr:col>
      <xdr:colOff>0</xdr:colOff>
      <xdr:row>40</xdr:row>
      <xdr:rowOff>165100</xdr:rowOff>
    </xdr:to>
    <xdr:graphicFrame macro="">
      <xdr:nvGraphicFramePr>
        <xdr:cNvPr id="3" name="Gráfico 2">
          <a:extLst>
            <a:ext uri="{FF2B5EF4-FFF2-40B4-BE49-F238E27FC236}">
              <a16:creationId xmlns:a16="http://schemas.microsoft.com/office/drawing/2014/main" id="{52A417D4-A189-46E1-9D38-0A0889820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0</xdr:colOff>
      <xdr:row>10</xdr:row>
      <xdr:rowOff>180974</xdr:rowOff>
    </xdr:to>
    <xdr:sp macro="" textlink="">
      <xdr:nvSpPr>
        <xdr:cNvPr id="2" name="1 CuadroTexto">
          <a:extLst>
            <a:ext uri="{FF2B5EF4-FFF2-40B4-BE49-F238E27FC236}">
              <a16:creationId xmlns:a16="http://schemas.microsoft.com/office/drawing/2014/main" id="{106F3C84-E461-411E-AC8B-E7A02541E0B8}"/>
            </a:ext>
          </a:extLst>
        </xdr:cNvPr>
        <xdr:cNvSpPr txBox="1"/>
      </xdr:nvSpPr>
      <xdr:spPr>
        <a:xfrm>
          <a:off x="0" y="0"/>
          <a:ext cx="10201275" cy="2085974"/>
        </a:xfrm>
        <a:prstGeom prst="rect">
          <a:avLst/>
        </a:prstGeom>
        <a:ln/>
      </xdr:spPr>
      <xdr:style>
        <a:lnRef idx="2">
          <a:schemeClr val="dk1"/>
        </a:lnRef>
        <a:fillRef idx="1">
          <a:schemeClr val="lt1"/>
        </a:fillRef>
        <a:effectRef idx="0">
          <a:schemeClr val="dk1"/>
        </a:effectRef>
        <a:fontRef idx="minor">
          <a:schemeClr val="dk1"/>
        </a:fontRef>
      </xdr:style>
      <xdr:txBody>
        <a:bodyPr vertOverflow="clip" wrap="square" rtlCol="0" anchor="t"/>
        <a:lstStyle/>
        <a:p>
          <a:r>
            <a:rPr lang="es-ES" sz="1100" b="1"/>
            <a:t>Enunciado</a:t>
          </a:r>
          <a:endParaRPr lang="es-ES" sz="1100" b="0"/>
        </a:p>
        <a:p>
          <a:r>
            <a:rPr lang="es-ES" sz="1100" b="0"/>
            <a:t>Una empresa suministra un determinado tipo de piezas a 3 clientes</a:t>
          </a:r>
          <a:r>
            <a:rPr lang="es-ES" sz="1100" b="0" baseline="0"/>
            <a:t> (A, B, C, D y E). La probabilidad de que una pieza defectuosa no sea detectada y se envíe al cliente es del 0.10%. A dichos clientes se les suministran lotes de estas piezas de distintos tamaños y con límites diferentes respecto al nº de piezas defectuosas por lote. Los tamaños de lote son de 1200, 400, 600, 500 y 900 piezas respectivamente. Los límites de piezas  defectuosas acordados del 0.5%, 1%, 0.75%, 0.75% y 0.5% respectivamente. </a:t>
          </a:r>
        </a:p>
        <a:p>
          <a:r>
            <a:rPr lang="es-ES" sz="1100" b="1" i="1" baseline="0"/>
            <a:t>i) Determinar la probabilidad de que un lote sea rechazado por cada cliente.</a:t>
          </a:r>
        </a:p>
        <a:p>
          <a:r>
            <a:rPr lang="es-ES" sz="1100" b="0"/>
            <a:t>El</a:t>
          </a:r>
          <a:r>
            <a:rPr lang="es-ES" sz="1100" b="0" baseline="0"/>
            <a:t> envío de las piezas a los clientes se realiza una vez tras cada intervalo constante de tiempo tal que por término medio el cliente consume el tamaño del lote.  Las piezas del lote son consumidas de forma aleatoria con una tasa de probabilidad constante en el tiempo. Para evitar desabastecimientos, cada cliente establece un exceso de piezas de </a:t>
          </a:r>
          <a:r>
            <a:rPr lang="es-ES" sz="1100" b="0" baseline="0">
              <a:solidFill>
                <a:schemeClr val="dk1"/>
              </a:solidFill>
              <a:effectLst/>
              <a:latin typeface="+mn-lt"/>
              <a:ea typeface="+mn-ea"/>
              <a:cs typeface="+mn-cs"/>
            </a:rPr>
            <a:t>seguridad </a:t>
          </a:r>
          <a:r>
            <a:rPr lang="es-ES" sz="1100" b="0" baseline="0"/>
            <a:t>en el momento del abastecimiento del 10%, 12%, 8%, 10% y 7% del tamaño del lote, respectivamente. </a:t>
          </a:r>
        </a:p>
        <a:p>
          <a:r>
            <a:rPr lang="es-ES" sz="1100" b="1" i="1" baseline="0"/>
            <a:t>ii) Bajo estas condiciones, determinar la probabilidad de que cada cliente se quede sin piezas en el tiempo entre envíos.</a:t>
          </a:r>
        </a:p>
        <a:p>
          <a:r>
            <a:rPr lang="es-ES" sz="1100" b="0" i="0" baseline="0"/>
            <a:t>NOTA: Recordar que la distribución de Poisson nos da la probabilidad del número de ocurrencias de un evento en un intervalo determinado cuya probabilidad de ocurrencia es constante en el tiempo.</a:t>
          </a:r>
        </a:p>
      </xdr:txBody>
    </xdr:sp>
    <xdr:clientData/>
  </xdr:twoCellAnchor>
  <xdr:twoCellAnchor>
    <xdr:from>
      <xdr:col>6</xdr:col>
      <xdr:colOff>200025</xdr:colOff>
      <xdr:row>29</xdr:row>
      <xdr:rowOff>161925</xdr:rowOff>
    </xdr:from>
    <xdr:to>
      <xdr:col>14</xdr:col>
      <xdr:colOff>495300</xdr:colOff>
      <xdr:row>50</xdr:row>
      <xdr:rowOff>187164</xdr:rowOff>
    </xdr:to>
    <xdr:graphicFrame macro="">
      <xdr:nvGraphicFramePr>
        <xdr:cNvPr id="3" name="Gráfico 2">
          <a:extLst>
            <a:ext uri="{FF2B5EF4-FFF2-40B4-BE49-F238E27FC236}">
              <a16:creationId xmlns:a16="http://schemas.microsoft.com/office/drawing/2014/main" id="{831A028C-5476-4FDA-9185-0B9FAFDB4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A559-B0D8-414D-A615-C6277F8B0A76}">
  <dimension ref="A1:J54"/>
  <sheetViews>
    <sheetView workbookViewId="0">
      <selection activeCell="K9" sqref="K9"/>
    </sheetView>
  </sheetViews>
  <sheetFormatPr baseColWidth="10" defaultRowHeight="14.75" x14ac:dyDescent="0.75"/>
  <sheetData>
    <row r="1" spans="1:10" ht="22.75" x14ac:dyDescent="0.95">
      <c r="A1" s="5" t="s">
        <v>12</v>
      </c>
    </row>
    <row r="2" spans="1:10" x14ac:dyDescent="0.75">
      <c r="A2" s="4" t="s">
        <v>11</v>
      </c>
    </row>
    <row r="4" spans="1:10" x14ac:dyDescent="0.75">
      <c r="A4" s="3" t="s">
        <v>10</v>
      </c>
      <c r="B4" s="3" t="s">
        <v>9</v>
      </c>
      <c r="C4" s="3" t="s">
        <v>8</v>
      </c>
      <c r="E4" s="3" t="s">
        <v>7</v>
      </c>
      <c r="F4" s="3" t="s">
        <v>6</v>
      </c>
      <c r="G4" s="3" t="s">
        <v>5</v>
      </c>
      <c r="H4" s="3" t="s">
        <v>4</v>
      </c>
      <c r="J4" s="2" t="s">
        <v>3</v>
      </c>
    </row>
    <row r="5" spans="1:10" x14ac:dyDescent="0.75">
      <c r="A5">
        <v>1</v>
      </c>
      <c r="B5" s="1"/>
      <c r="C5" s="1"/>
      <c r="E5">
        <v>0</v>
      </c>
      <c r="F5">
        <v>1</v>
      </c>
      <c r="G5" t="str">
        <f t="shared" ref="G5:G24" si="0">E5&amp;"-"&amp;F5</f>
        <v>0-1</v>
      </c>
      <c r="H5">
        <f t="shared" ref="H5:H24" si="1">COUNTIFS($C$5:$C$54,"&gt;"&amp;E5,$C$5:$C$54,"&lt;="&amp;F5)</f>
        <v>0</v>
      </c>
      <c r="J5" t="s">
        <v>2</v>
      </c>
    </row>
    <row r="6" spans="1:10" x14ac:dyDescent="0.75">
      <c r="A6">
        <v>2</v>
      </c>
      <c r="B6" s="1"/>
      <c r="C6" s="1"/>
      <c r="E6">
        <f t="shared" ref="E6:E24" si="2">E5+1</f>
        <v>1</v>
      </c>
      <c r="F6">
        <f t="shared" ref="F6:F24" si="3">F5+1</f>
        <v>2</v>
      </c>
      <c r="G6" t="str">
        <f t="shared" si="0"/>
        <v>1-2</v>
      </c>
      <c r="H6">
        <f t="shared" si="1"/>
        <v>0</v>
      </c>
      <c r="J6" t="s">
        <v>1</v>
      </c>
    </row>
    <row r="7" spans="1:10" x14ac:dyDescent="0.75">
      <c r="A7">
        <v>3</v>
      </c>
      <c r="B7" s="1"/>
      <c r="C7" s="1"/>
      <c r="E7">
        <f t="shared" si="2"/>
        <v>2</v>
      </c>
      <c r="F7">
        <f t="shared" si="3"/>
        <v>3</v>
      </c>
      <c r="G7" t="str">
        <f t="shared" si="0"/>
        <v>2-3</v>
      </c>
      <c r="H7">
        <f t="shared" si="1"/>
        <v>0</v>
      </c>
      <c r="J7" t="s">
        <v>0</v>
      </c>
    </row>
    <row r="8" spans="1:10" x14ac:dyDescent="0.75">
      <c r="A8">
        <v>4</v>
      </c>
      <c r="B8" s="1"/>
      <c r="C8" s="1"/>
      <c r="E8">
        <f t="shared" si="2"/>
        <v>3</v>
      </c>
      <c r="F8">
        <f t="shared" si="3"/>
        <v>4</v>
      </c>
      <c r="G8" t="str">
        <f t="shared" si="0"/>
        <v>3-4</v>
      </c>
      <c r="H8">
        <f t="shared" si="1"/>
        <v>0</v>
      </c>
    </row>
    <row r="9" spans="1:10" x14ac:dyDescent="0.75">
      <c r="A9">
        <v>5</v>
      </c>
      <c r="B9" s="1"/>
      <c r="C9" s="1"/>
      <c r="E9">
        <f t="shared" si="2"/>
        <v>4</v>
      </c>
      <c r="F9">
        <f t="shared" si="3"/>
        <v>5</v>
      </c>
      <c r="G9" t="str">
        <f t="shared" si="0"/>
        <v>4-5</v>
      </c>
      <c r="H9">
        <f t="shared" si="1"/>
        <v>0</v>
      </c>
    </row>
    <row r="10" spans="1:10" x14ac:dyDescent="0.75">
      <c r="A10">
        <v>6</v>
      </c>
      <c r="B10" s="1"/>
      <c r="C10" s="1"/>
      <c r="E10">
        <f t="shared" si="2"/>
        <v>5</v>
      </c>
      <c r="F10">
        <f t="shared" si="3"/>
        <v>6</v>
      </c>
      <c r="G10" t="str">
        <f t="shared" si="0"/>
        <v>5-6</v>
      </c>
      <c r="H10">
        <f t="shared" si="1"/>
        <v>0</v>
      </c>
    </row>
    <row r="11" spans="1:10" x14ac:dyDescent="0.75">
      <c r="A11">
        <v>7</v>
      </c>
      <c r="B11" s="1"/>
      <c r="C11" s="1"/>
      <c r="E11">
        <f t="shared" si="2"/>
        <v>6</v>
      </c>
      <c r="F11">
        <f t="shared" si="3"/>
        <v>7</v>
      </c>
      <c r="G11" t="str">
        <f t="shared" si="0"/>
        <v>6-7</v>
      </c>
      <c r="H11">
        <f t="shared" si="1"/>
        <v>0</v>
      </c>
    </row>
    <row r="12" spans="1:10" x14ac:dyDescent="0.75">
      <c r="A12">
        <v>8</v>
      </c>
      <c r="B12" s="1"/>
      <c r="C12" s="1"/>
      <c r="E12">
        <f t="shared" si="2"/>
        <v>7</v>
      </c>
      <c r="F12">
        <f t="shared" si="3"/>
        <v>8</v>
      </c>
      <c r="G12" t="str">
        <f t="shared" si="0"/>
        <v>7-8</v>
      </c>
      <c r="H12">
        <f t="shared" si="1"/>
        <v>0</v>
      </c>
    </row>
    <row r="13" spans="1:10" x14ac:dyDescent="0.75">
      <c r="A13">
        <v>9</v>
      </c>
      <c r="B13" s="1"/>
      <c r="C13" s="1"/>
      <c r="E13">
        <f t="shared" si="2"/>
        <v>8</v>
      </c>
      <c r="F13">
        <f t="shared" si="3"/>
        <v>9</v>
      </c>
      <c r="G13" t="str">
        <f t="shared" si="0"/>
        <v>8-9</v>
      </c>
      <c r="H13">
        <f t="shared" si="1"/>
        <v>0</v>
      </c>
    </row>
    <row r="14" spans="1:10" x14ac:dyDescent="0.75">
      <c r="A14">
        <v>10</v>
      </c>
      <c r="B14" s="1"/>
      <c r="C14" s="1"/>
      <c r="E14">
        <f t="shared" si="2"/>
        <v>9</v>
      </c>
      <c r="F14">
        <f t="shared" si="3"/>
        <v>10</v>
      </c>
      <c r="G14" t="str">
        <f t="shared" si="0"/>
        <v>9-10</v>
      </c>
      <c r="H14">
        <f t="shared" si="1"/>
        <v>0</v>
      </c>
    </row>
    <row r="15" spans="1:10" x14ac:dyDescent="0.75">
      <c r="A15">
        <v>11</v>
      </c>
      <c r="B15" s="1"/>
      <c r="C15" s="1"/>
      <c r="E15">
        <f t="shared" si="2"/>
        <v>10</v>
      </c>
      <c r="F15">
        <f t="shared" si="3"/>
        <v>11</v>
      </c>
      <c r="G15" t="str">
        <f t="shared" si="0"/>
        <v>10-11</v>
      </c>
      <c r="H15">
        <f t="shared" si="1"/>
        <v>0</v>
      </c>
    </row>
    <row r="16" spans="1:10" x14ac:dyDescent="0.75">
      <c r="A16">
        <v>12</v>
      </c>
      <c r="B16" s="1"/>
      <c r="C16" s="1"/>
      <c r="E16">
        <f t="shared" si="2"/>
        <v>11</v>
      </c>
      <c r="F16">
        <f t="shared" si="3"/>
        <v>12</v>
      </c>
      <c r="G16" t="str">
        <f t="shared" si="0"/>
        <v>11-12</v>
      </c>
      <c r="H16">
        <f t="shared" si="1"/>
        <v>0</v>
      </c>
    </row>
    <row r="17" spans="1:8" x14ac:dyDescent="0.75">
      <c r="A17">
        <v>13</v>
      </c>
      <c r="B17" s="1"/>
      <c r="C17" s="1"/>
      <c r="E17">
        <f t="shared" si="2"/>
        <v>12</v>
      </c>
      <c r="F17">
        <f t="shared" si="3"/>
        <v>13</v>
      </c>
      <c r="G17" t="str">
        <f t="shared" si="0"/>
        <v>12-13</v>
      </c>
      <c r="H17">
        <f t="shared" si="1"/>
        <v>0</v>
      </c>
    </row>
    <row r="18" spans="1:8" x14ac:dyDescent="0.75">
      <c r="A18">
        <v>14</v>
      </c>
      <c r="B18" s="1"/>
      <c r="C18" s="1"/>
      <c r="E18">
        <f t="shared" si="2"/>
        <v>13</v>
      </c>
      <c r="F18">
        <f t="shared" si="3"/>
        <v>14</v>
      </c>
      <c r="G18" t="str">
        <f t="shared" si="0"/>
        <v>13-14</v>
      </c>
      <c r="H18">
        <f t="shared" si="1"/>
        <v>0</v>
      </c>
    </row>
    <row r="19" spans="1:8" x14ac:dyDescent="0.75">
      <c r="A19">
        <v>15</v>
      </c>
      <c r="B19" s="1"/>
      <c r="C19" s="1"/>
      <c r="E19">
        <f t="shared" si="2"/>
        <v>14</v>
      </c>
      <c r="F19">
        <f t="shared" si="3"/>
        <v>15</v>
      </c>
      <c r="G19" t="str">
        <f t="shared" si="0"/>
        <v>14-15</v>
      </c>
      <c r="H19">
        <f t="shared" si="1"/>
        <v>0</v>
      </c>
    </row>
    <row r="20" spans="1:8" x14ac:dyDescent="0.75">
      <c r="A20">
        <v>16</v>
      </c>
      <c r="B20" s="1"/>
      <c r="C20" s="1"/>
      <c r="E20">
        <f t="shared" si="2"/>
        <v>15</v>
      </c>
      <c r="F20">
        <f t="shared" si="3"/>
        <v>16</v>
      </c>
      <c r="G20" t="str">
        <f t="shared" si="0"/>
        <v>15-16</v>
      </c>
      <c r="H20">
        <f t="shared" si="1"/>
        <v>0</v>
      </c>
    </row>
    <row r="21" spans="1:8" x14ac:dyDescent="0.75">
      <c r="A21">
        <v>17</v>
      </c>
      <c r="B21" s="1"/>
      <c r="C21" s="1"/>
      <c r="E21">
        <f t="shared" si="2"/>
        <v>16</v>
      </c>
      <c r="F21">
        <f t="shared" si="3"/>
        <v>17</v>
      </c>
      <c r="G21" t="str">
        <f t="shared" si="0"/>
        <v>16-17</v>
      </c>
      <c r="H21">
        <f t="shared" si="1"/>
        <v>0</v>
      </c>
    </row>
    <row r="22" spans="1:8" x14ac:dyDescent="0.75">
      <c r="A22">
        <v>18</v>
      </c>
      <c r="B22" s="1"/>
      <c r="C22" s="1"/>
      <c r="E22">
        <f t="shared" si="2"/>
        <v>17</v>
      </c>
      <c r="F22">
        <f t="shared" si="3"/>
        <v>18</v>
      </c>
      <c r="G22" t="str">
        <f t="shared" si="0"/>
        <v>17-18</v>
      </c>
      <c r="H22">
        <f t="shared" si="1"/>
        <v>0</v>
      </c>
    </row>
    <row r="23" spans="1:8" x14ac:dyDescent="0.75">
      <c r="A23">
        <v>19</v>
      </c>
      <c r="B23" s="1"/>
      <c r="C23" s="1"/>
      <c r="E23">
        <f t="shared" si="2"/>
        <v>18</v>
      </c>
      <c r="F23">
        <f t="shared" si="3"/>
        <v>19</v>
      </c>
      <c r="G23" t="str">
        <f t="shared" si="0"/>
        <v>18-19</v>
      </c>
      <c r="H23">
        <f t="shared" si="1"/>
        <v>0</v>
      </c>
    </row>
    <row r="24" spans="1:8" x14ac:dyDescent="0.75">
      <c r="A24">
        <v>20</v>
      </c>
      <c r="B24" s="1"/>
      <c r="C24" s="1"/>
      <c r="E24">
        <f t="shared" si="2"/>
        <v>19</v>
      </c>
      <c r="F24">
        <f t="shared" si="3"/>
        <v>20</v>
      </c>
      <c r="G24" t="str">
        <f t="shared" si="0"/>
        <v>19-20</v>
      </c>
      <c r="H24">
        <f t="shared" si="1"/>
        <v>0</v>
      </c>
    </row>
    <row r="25" spans="1:8" x14ac:dyDescent="0.75">
      <c r="A25">
        <v>21</v>
      </c>
      <c r="B25" s="1"/>
      <c r="C25" s="1"/>
    </row>
    <row r="26" spans="1:8" x14ac:dyDescent="0.75">
      <c r="A26">
        <v>22</v>
      </c>
      <c r="B26" s="1"/>
      <c r="C26" s="1"/>
    </row>
    <row r="27" spans="1:8" x14ac:dyDescent="0.75">
      <c r="A27">
        <v>23</v>
      </c>
      <c r="B27" s="1"/>
      <c r="C27" s="1"/>
    </row>
    <row r="28" spans="1:8" x14ac:dyDescent="0.75">
      <c r="A28">
        <v>24</v>
      </c>
      <c r="B28" s="1"/>
      <c r="C28" s="1"/>
    </row>
    <row r="29" spans="1:8" x14ac:dyDescent="0.75">
      <c r="A29">
        <v>25</v>
      </c>
      <c r="B29" s="1"/>
      <c r="C29" s="1"/>
    </row>
    <row r="30" spans="1:8" x14ac:dyDescent="0.75">
      <c r="A30">
        <v>26</v>
      </c>
      <c r="B30" s="1"/>
      <c r="C30" s="1"/>
    </row>
    <row r="31" spans="1:8" x14ac:dyDescent="0.75">
      <c r="A31">
        <v>27</v>
      </c>
      <c r="B31" s="1"/>
      <c r="C31" s="1"/>
    </row>
    <row r="32" spans="1:8" x14ac:dyDescent="0.75">
      <c r="A32">
        <v>28</v>
      </c>
      <c r="B32" s="1"/>
      <c r="C32" s="1"/>
    </row>
    <row r="33" spans="1:3" x14ac:dyDescent="0.75">
      <c r="A33">
        <v>29</v>
      </c>
      <c r="B33" s="1"/>
      <c r="C33" s="1"/>
    </row>
    <row r="34" spans="1:3" x14ac:dyDescent="0.75">
      <c r="A34">
        <v>30</v>
      </c>
      <c r="B34" s="1"/>
      <c r="C34" s="1"/>
    </row>
    <row r="35" spans="1:3" x14ac:dyDescent="0.75">
      <c r="A35">
        <v>31</v>
      </c>
      <c r="B35" s="1"/>
      <c r="C35" s="1"/>
    </row>
    <row r="36" spans="1:3" x14ac:dyDescent="0.75">
      <c r="A36">
        <v>32</v>
      </c>
      <c r="B36" s="1"/>
      <c r="C36" s="1"/>
    </row>
    <row r="37" spans="1:3" x14ac:dyDescent="0.75">
      <c r="A37">
        <v>33</v>
      </c>
      <c r="B37" s="1"/>
      <c r="C37" s="1"/>
    </row>
    <row r="38" spans="1:3" x14ac:dyDescent="0.75">
      <c r="A38">
        <v>34</v>
      </c>
      <c r="B38" s="1"/>
      <c r="C38" s="1"/>
    </row>
    <row r="39" spans="1:3" x14ac:dyDescent="0.75">
      <c r="A39">
        <v>35</v>
      </c>
      <c r="B39" s="1"/>
      <c r="C39" s="1"/>
    </row>
    <row r="40" spans="1:3" x14ac:dyDescent="0.75">
      <c r="A40">
        <v>36</v>
      </c>
      <c r="B40" s="1"/>
      <c r="C40" s="1"/>
    </row>
    <row r="41" spans="1:3" x14ac:dyDescent="0.75">
      <c r="A41">
        <v>37</v>
      </c>
      <c r="B41" s="1"/>
      <c r="C41" s="1"/>
    </row>
    <row r="42" spans="1:3" x14ac:dyDescent="0.75">
      <c r="A42">
        <v>38</v>
      </c>
      <c r="B42" s="1"/>
      <c r="C42" s="1"/>
    </row>
    <row r="43" spans="1:3" x14ac:dyDescent="0.75">
      <c r="A43">
        <v>39</v>
      </c>
      <c r="B43" s="1"/>
      <c r="C43" s="1"/>
    </row>
    <row r="44" spans="1:3" x14ac:dyDescent="0.75">
      <c r="A44">
        <v>40</v>
      </c>
      <c r="B44" s="1"/>
      <c r="C44" s="1"/>
    </row>
    <row r="45" spans="1:3" x14ac:dyDescent="0.75">
      <c r="A45">
        <v>41</v>
      </c>
      <c r="B45" s="1"/>
      <c r="C45" s="1"/>
    </row>
    <row r="46" spans="1:3" x14ac:dyDescent="0.75">
      <c r="A46">
        <v>42</v>
      </c>
      <c r="B46" s="1"/>
      <c r="C46" s="1"/>
    </row>
    <row r="47" spans="1:3" x14ac:dyDescent="0.75">
      <c r="A47">
        <v>43</v>
      </c>
      <c r="B47" s="1"/>
      <c r="C47" s="1"/>
    </row>
    <row r="48" spans="1:3" x14ac:dyDescent="0.75">
      <c r="A48">
        <v>44</v>
      </c>
      <c r="B48" s="1"/>
      <c r="C48" s="1"/>
    </row>
    <row r="49" spans="1:3" x14ac:dyDescent="0.75">
      <c r="A49">
        <v>45</v>
      </c>
      <c r="B49" s="1"/>
      <c r="C49" s="1"/>
    </row>
    <row r="50" spans="1:3" x14ac:dyDescent="0.75">
      <c r="A50">
        <v>46</v>
      </c>
      <c r="B50" s="1"/>
      <c r="C50" s="1"/>
    </row>
    <row r="51" spans="1:3" x14ac:dyDescent="0.75">
      <c r="A51">
        <v>47</v>
      </c>
      <c r="B51" s="1"/>
      <c r="C51" s="1"/>
    </row>
    <row r="52" spans="1:3" x14ac:dyDescent="0.75">
      <c r="A52">
        <v>48</v>
      </c>
      <c r="B52" s="1"/>
      <c r="C52" s="1"/>
    </row>
    <row r="53" spans="1:3" x14ac:dyDescent="0.75">
      <c r="A53">
        <v>49</v>
      </c>
      <c r="B53" s="1"/>
      <c r="C53" s="1"/>
    </row>
    <row r="54" spans="1:3" x14ac:dyDescent="0.75">
      <c r="A54">
        <v>50</v>
      </c>
      <c r="B54" s="1"/>
      <c r="C54"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117B-52E1-4963-9741-FBB6641E692F}">
  <dimension ref="A1:G78"/>
  <sheetViews>
    <sheetView workbookViewId="0">
      <selection activeCell="B33" sqref="B33:B34"/>
    </sheetView>
  </sheetViews>
  <sheetFormatPr baseColWidth="10" defaultRowHeight="14.75" x14ac:dyDescent="0.75"/>
  <cols>
    <col min="1" max="1" width="20.86328125" customWidth="1"/>
    <col min="6" max="6" width="16.54296875" customWidth="1"/>
  </cols>
  <sheetData>
    <row r="1" spans="1:7" ht="22.75" x14ac:dyDescent="0.95">
      <c r="A1" s="21" t="s">
        <v>77</v>
      </c>
      <c r="B1" s="21"/>
      <c r="C1" s="21"/>
      <c r="D1" s="21"/>
    </row>
    <row r="3" spans="1:7" x14ac:dyDescent="0.75">
      <c r="A3" t="s">
        <v>76</v>
      </c>
    </row>
    <row r="4" spans="1:7" x14ac:dyDescent="0.75">
      <c r="A4" t="s">
        <v>75</v>
      </c>
    </row>
    <row r="5" spans="1:7" x14ac:dyDescent="0.75">
      <c r="B5" t="s">
        <v>74</v>
      </c>
    </row>
    <row r="6" spans="1:7" x14ac:dyDescent="0.75">
      <c r="B6" t="s">
        <v>73</v>
      </c>
    </row>
    <row r="7" spans="1:7" x14ac:dyDescent="0.75">
      <c r="B7" t="s">
        <v>72</v>
      </c>
    </row>
    <row r="8" spans="1:7" x14ac:dyDescent="0.75">
      <c r="A8" t="s">
        <v>71</v>
      </c>
    </row>
    <row r="9" spans="1:7" x14ac:dyDescent="0.75">
      <c r="B9" s="22" t="s">
        <v>70</v>
      </c>
      <c r="C9" s="22"/>
      <c r="D9" s="22" t="s">
        <v>69</v>
      </c>
      <c r="E9" s="22"/>
      <c r="F9" s="22" t="s">
        <v>68</v>
      </c>
      <c r="G9" s="22"/>
    </row>
    <row r="10" spans="1:7" x14ac:dyDescent="0.75">
      <c r="B10" s="20" t="b">
        <v>1</v>
      </c>
      <c r="C10" s="20"/>
      <c r="D10" s="20" t="s">
        <v>67</v>
      </c>
      <c r="E10" s="20"/>
      <c r="F10" s="20" t="s">
        <v>66</v>
      </c>
      <c r="G10" s="20"/>
    </row>
    <row r="11" spans="1:7" x14ac:dyDescent="0.75">
      <c r="B11" s="20" t="b">
        <v>0</v>
      </c>
      <c r="C11" s="20"/>
      <c r="D11" s="20" t="s">
        <v>65</v>
      </c>
      <c r="E11" s="20"/>
      <c r="F11" s="20" t="s">
        <v>64</v>
      </c>
      <c r="G11" s="20"/>
    </row>
    <row r="13" spans="1:7" x14ac:dyDescent="0.75">
      <c r="A13" s="4" t="s">
        <v>63</v>
      </c>
    </row>
    <row r="15" spans="1:7" x14ac:dyDescent="0.75">
      <c r="A15" s="6" t="s">
        <v>45</v>
      </c>
      <c r="B15" s="7">
        <v>2</v>
      </c>
    </row>
    <row r="16" spans="1:7" x14ac:dyDescent="0.75">
      <c r="A16" s="6" t="s">
        <v>43</v>
      </c>
      <c r="B16" s="7">
        <v>3</v>
      </c>
    </row>
    <row r="17" spans="1:5" x14ac:dyDescent="0.75">
      <c r="A17" s="6" t="s">
        <v>62</v>
      </c>
      <c r="B17" s="7">
        <v>5</v>
      </c>
    </row>
    <row r="18" spans="1:5" x14ac:dyDescent="0.75">
      <c r="A18" s="6" t="s">
        <v>10</v>
      </c>
      <c r="B18" s="7">
        <v>8</v>
      </c>
    </row>
    <row r="19" spans="1:5" x14ac:dyDescent="0.75">
      <c r="A19" s="6" t="s">
        <v>61</v>
      </c>
      <c r="B19" s="7">
        <v>0.2</v>
      </c>
    </row>
    <row r="21" spans="1:5" x14ac:dyDescent="0.75">
      <c r="A21" t="s">
        <v>60</v>
      </c>
      <c r="D21" t="s">
        <v>59</v>
      </c>
    </row>
    <row r="22" spans="1:5" x14ac:dyDescent="0.75">
      <c r="A22" s="8" t="s">
        <v>58</v>
      </c>
      <c r="D22" t="s">
        <v>21</v>
      </c>
    </row>
    <row r="23" spans="1:5" x14ac:dyDescent="0.75">
      <c r="E23" t="s">
        <v>57</v>
      </c>
    </row>
    <row r="24" spans="1:5" x14ac:dyDescent="0.75">
      <c r="A24" s="6" t="s">
        <v>41</v>
      </c>
      <c r="B24" s="1"/>
      <c r="E24" t="s">
        <v>56</v>
      </c>
    </row>
    <row r="25" spans="1:5" x14ac:dyDescent="0.75">
      <c r="A25" s="6" t="s">
        <v>40</v>
      </c>
      <c r="B25" s="1"/>
      <c r="E25" t="s">
        <v>55</v>
      </c>
    </row>
    <row r="26" spans="1:5" x14ac:dyDescent="0.75">
      <c r="A26" s="6" t="s">
        <v>39</v>
      </c>
      <c r="B26" s="1"/>
    </row>
    <row r="27" spans="1:5" x14ac:dyDescent="0.75">
      <c r="A27" s="6" t="s">
        <v>54</v>
      </c>
      <c r="B27" s="1"/>
    </row>
    <row r="28" spans="1:5" x14ac:dyDescent="0.75">
      <c r="A28" s="6" t="s">
        <v>53</v>
      </c>
      <c r="B28" s="1"/>
    </row>
    <row r="29" spans="1:5" x14ac:dyDescent="0.75">
      <c r="A29" s="6" t="s">
        <v>52</v>
      </c>
      <c r="B29" s="1"/>
    </row>
    <row r="30" spans="1:5" x14ac:dyDescent="0.75">
      <c r="A30" s="6" t="s">
        <v>38</v>
      </c>
      <c r="B30" s="1"/>
    </row>
    <row r="31" spans="1:5" x14ac:dyDescent="0.75">
      <c r="A31" s="6" t="s">
        <v>51</v>
      </c>
      <c r="B31" s="1"/>
    </row>
    <row r="32" spans="1:5" x14ac:dyDescent="0.75">
      <c r="A32" s="6" t="s">
        <v>50</v>
      </c>
      <c r="B32" s="1"/>
    </row>
    <row r="33" spans="1:5" x14ac:dyDescent="0.75">
      <c r="A33" s="6" t="s">
        <v>49</v>
      </c>
      <c r="B33" s="1"/>
    </row>
    <row r="34" spans="1:5" x14ac:dyDescent="0.75">
      <c r="A34" s="6" t="s">
        <v>48</v>
      </c>
      <c r="B34" s="1"/>
    </row>
    <row r="36" spans="1:5" x14ac:dyDescent="0.75">
      <c r="A36" s="4" t="s">
        <v>47</v>
      </c>
      <c r="D36" t="s">
        <v>46</v>
      </c>
    </row>
    <row r="37" spans="1:5" x14ac:dyDescent="0.75">
      <c r="D37" t="s">
        <v>21</v>
      </c>
    </row>
    <row r="38" spans="1:5" x14ac:dyDescent="0.75">
      <c r="A38" s="6" t="s">
        <v>45</v>
      </c>
      <c r="B38" s="7">
        <v>2</v>
      </c>
      <c r="E38" t="s">
        <v>44</v>
      </c>
    </row>
    <row r="39" spans="1:5" x14ac:dyDescent="0.75">
      <c r="A39" s="6" t="s">
        <v>43</v>
      </c>
      <c r="B39" s="7">
        <v>4</v>
      </c>
    </row>
    <row r="40" spans="1:5" x14ac:dyDescent="0.75">
      <c r="A40" s="6" t="s">
        <v>42</v>
      </c>
      <c r="B40" s="7">
        <v>2.5</v>
      </c>
    </row>
    <row r="41" spans="1:5" x14ac:dyDescent="0.75">
      <c r="A41" s="6" t="s">
        <v>41</v>
      </c>
      <c r="B41" s="1"/>
    </row>
    <row r="42" spans="1:5" x14ac:dyDescent="0.75">
      <c r="A42" s="6" t="s">
        <v>40</v>
      </c>
      <c r="B42" s="1"/>
    </row>
    <row r="43" spans="1:5" x14ac:dyDescent="0.75">
      <c r="A43" s="6" t="s">
        <v>39</v>
      </c>
      <c r="B43" s="1"/>
    </row>
    <row r="44" spans="1:5" x14ac:dyDescent="0.75">
      <c r="A44" s="6" t="s">
        <v>38</v>
      </c>
      <c r="B44" s="1"/>
    </row>
    <row r="45" spans="1:5" x14ac:dyDescent="0.75">
      <c r="A45" s="6" t="s">
        <v>37</v>
      </c>
      <c r="B45" s="1"/>
    </row>
    <row r="46" spans="1:5" x14ac:dyDescent="0.75">
      <c r="A46" s="6" t="s">
        <v>36</v>
      </c>
      <c r="B46" s="1"/>
    </row>
    <row r="48" spans="1:5" x14ac:dyDescent="0.75">
      <c r="A48" s="4" t="s">
        <v>35</v>
      </c>
      <c r="D48" t="s">
        <v>34</v>
      </c>
    </row>
    <row r="49" spans="1:5" x14ac:dyDescent="0.75">
      <c r="D49" t="s">
        <v>21</v>
      </c>
    </row>
    <row r="50" spans="1:5" x14ac:dyDescent="0.75">
      <c r="A50" s="6" t="s">
        <v>20</v>
      </c>
      <c r="B50" s="7">
        <v>7</v>
      </c>
      <c r="E50" t="s">
        <v>31</v>
      </c>
    </row>
    <row r="51" spans="1:5" x14ac:dyDescent="0.75">
      <c r="A51" s="6" t="s">
        <v>19</v>
      </c>
      <c r="B51" s="7">
        <v>10</v>
      </c>
      <c r="E51" t="s">
        <v>33</v>
      </c>
    </row>
    <row r="52" spans="1:5" x14ac:dyDescent="0.75">
      <c r="A52" s="6" t="s">
        <v>32</v>
      </c>
      <c r="B52" s="7">
        <v>12</v>
      </c>
    </row>
    <row r="53" spans="1:5" x14ac:dyDescent="0.75">
      <c r="A53" s="6" t="s">
        <v>31</v>
      </c>
      <c r="B53" s="7">
        <v>10</v>
      </c>
    </row>
    <row r="54" spans="1:5" x14ac:dyDescent="0.75">
      <c r="A54" s="6" t="s">
        <v>30</v>
      </c>
      <c r="B54" s="7">
        <v>3</v>
      </c>
    </row>
    <row r="56" spans="1:5" x14ac:dyDescent="0.75">
      <c r="A56" s="6" t="s">
        <v>17</v>
      </c>
      <c r="B56" s="1"/>
    </row>
    <row r="57" spans="1:5" x14ac:dyDescent="0.75">
      <c r="A57" s="6" t="s">
        <v>16</v>
      </c>
      <c r="B57" s="1"/>
    </row>
    <row r="58" spans="1:5" x14ac:dyDescent="0.75">
      <c r="A58" s="6" t="s">
        <v>15</v>
      </c>
      <c r="B58" s="1"/>
    </row>
    <row r="59" spans="1:5" x14ac:dyDescent="0.75">
      <c r="A59" s="6" t="s">
        <v>29</v>
      </c>
      <c r="B59" s="1"/>
    </row>
    <row r="60" spans="1:5" x14ac:dyDescent="0.75">
      <c r="A60" s="6" t="s">
        <v>14</v>
      </c>
      <c r="B60" s="1"/>
    </row>
    <row r="61" spans="1:5" x14ac:dyDescent="0.75">
      <c r="A61" s="6" t="s">
        <v>28</v>
      </c>
      <c r="B61" s="1"/>
    </row>
    <row r="62" spans="1:5" x14ac:dyDescent="0.75">
      <c r="A62" s="6" t="s">
        <v>27</v>
      </c>
      <c r="B62" s="1"/>
    </row>
    <row r="63" spans="1:5" x14ac:dyDescent="0.75">
      <c r="A63" s="6" t="s">
        <v>13</v>
      </c>
      <c r="B63" s="1"/>
    </row>
    <row r="64" spans="1:5" x14ac:dyDescent="0.75">
      <c r="A64" s="6" t="s">
        <v>26</v>
      </c>
      <c r="B64" s="1"/>
    </row>
    <row r="65" spans="1:5" x14ac:dyDescent="0.75">
      <c r="A65" s="6" t="s">
        <v>25</v>
      </c>
      <c r="B65" s="1"/>
    </row>
    <row r="66" spans="1:5" x14ac:dyDescent="0.75">
      <c r="A66" s="6" t="s">
        <v>24</v>
      </c>
      <c r="B66" s="1"/>
    </row>
    <row r="68" spans="1:5" x14ac:dyDescent="0.75">
      <c r="A68" s="4" t="s">
        <v>23</v>
      </c>
      <c r="D68" t="s">
        <v>22</v>
      </c>
    </row>
    <row r="69" spans="1:5" x14ac:dyDescent="0.75">
      <c r="D69" t="s">
        <v>21</v>
      </c>
    </row>
    <row r="70" spans="1:5" x14ac:dyDescent="0.75">
      <c r="A70" s="6" t="s">
        <v>20</v>
      </c>
      <c r="B70" s="7">
        <v>1</v>
      </c>
      <c r="E70" t="s">
        <v>18</v>
      </c>
    </row>
    <row r="71" spans="1:5" x14ac:dyDescent="0.75">
      <c r="A71" s="6" t="s">
        <v>19</v>
      </c>
      <c r="B71" s="7">
        <v>2</v>
      </c>
    </row>
    <row r="72" spans="1:5" x14ac:dyDescent="0.75">
      <c r="A72" s="6" t="s">
        <v>18</v>
      </c>
      <c r="B72" s="7">
        <v>0.5</v>
      </c>
    </row>
    <row r="74" spans="1:5" x14ac:dyDescent="0.75">
      <c r="A74" s="6" t="s">
        <v>17</v>
      </c>
      <c r="B74" s="1"/>
    </row>
    <row r="75" spans="1:5" x14ac:dyDescent="0.75">
      <c r="A75" s="6" t="s">
        <v>16</v>
      </c>
      <c r="B75" s="1"/>
    </row>
    <row r="76" spans="1:5" x14ac:dyDescent="0.75">
      <c r="A76" s="6" t="s">
        <v>15</v>
      </c>
      <c r="B76" s="1"/>
    </row>
    <row r="77" spans="1:5" x14ac:dyDescent="0.75">
      <c r="A77" s="6" t="s">
        <v>14</v>
      </c>
      <c r="B77" s="1"/>
    </row>
    <row r="78" spans="1:5" x14ac:dyDescent="0.75">
      <c r="A78" s="6" t="s">
        <v>13</v>
      </c>
      <c r="B78" s="1"/>
    </row>
  </sheetData>
  <mergeCells count="10">
    <mergeCell ref="B11:C11"/>
    <mergeCell ref="D11:E11"/>
    <mergeCell ref="F11:G11"/>
    <mergeCell ref="A1:D1"/>
    <mergeCell ref="B9:C9"/>
    <mergeCell ref="D9:E9"/>
    <mergeCell ref="F9:G9"/>
    <mergeCell ref="B10:C10"/>
    <mergeCell ref="D10:E10"/>
    <mergeCell ref="F10:G1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EE15-6173-4C5A-8E1C-8035C486ACA3}">
  <dimension ref="A1:E129"/>
  <sheetViews>
    <sheetView workbookViewId="0">
      <selection activeCell="C5" sqref="C5"/>
    </sheetView>
  </sheetViews>
  <sheetFormatPr baseColWidth="10" defaultRowHeight="14.75" x14ac:dyDescent="0.75"/>
  <cols>
    <col min="2" max="2" width="11.86328125" bestFit="1" customWidth="1"/>
  </cols>
  <sheetData>
    <row r="1" spans="1:5" ht="22.75" x14ac:dyDescent="0.95">
      <c r="A1" s="21" t="s">
        <v>78</v>
      </c>
      <c r="B1" s="21"/>
      <c r="C1" s="21"/>
      <c r="D1" s="21"/>
    </row>
    <row r="3" spans="1:5" x14ac:dyDescent="0.75">
      <c r="A3" s="4" t="s">
        <v>79</v>
      </c>
    </row>
    <row r="5" spans="1:5" ht="15.5" thickBot="1" x14ac:dyDescent="0.9">
      <c r="A5" s="26" t="s">
        <v>80</v>
      </c>
      <c r="B5" s="26"/>
      <c r="D5" s="26" t="s">
        <v>81</v>
      </c>
      <c r="E5" s="26"/>
    </row>
    <row r="6" spans="1:5" x14ac:dyDescent="0.75">
      <c r="A6" s="6" t="s">
        <v>10</v>
      </c>
      <c r="B6" s="7">
        <v>80</v>
      </c>
      <c r="D6" s="6" t="s">
        <v>31</v>
      </c>
      <c r="E6" s="7">
        <f>B6*B7</f>
        <v>1.6</v>
      </c>
    </row>
    <row r="7" spans="1:5" x14ac:dyDescent="0.75">
      <c r="A7" s="6" t="s">
        <v>61</v>
      </c>
      <c r="B7" s="7">
        <v>0.02</v>
      </c>
    </row>
    <row r="9" spans="1:5" x14ac:dyDescent="0.75">
      <c r="A9" s="24" t="s">
        <v>82</v>
      </c>
      <c r="B9" s="25" t="s">
        <v>65</v>
      </c>
      <c r="C9" s="25"/>
    </row>
    <row r="10" spans="1:5" x14ac:dyDescent="0.75">
      <c r="A10" s="24"/>
      <c r="B10" s="9" t="s">
        <v>83</v>
      </c>
      <c r="C10" s="9" t="s">
        <v>81</v>
      </c>
    </row>
    <row r="11" spans="1:5" x14ac:dyDescent="0.75">
      <c r="A11" s="7">
        <v>0</v>
      </c>
      <c r="B11" s="1"/>
      <c r="C11" s="1"/>
    </row>
    <row r="12" spans="1:5" x14ac:dyDescent="0.75">
      <c r="A12" s="7">
        <v>1</v>
      </c>
      <c r="B12" s="1"/>
      <c r="C12" s="1"/>
    </row>
    <row r="13" spans="1:5" x14ac:dyDescent="0.75">
      <c r="A13" s="7">
        <v>2</v>
      </c>
      <c r="B13" s="1"/>
      <c r="C13" s="1"/>
    </row>
    <row r="14" spans="1:5" x14ac:dyDescent="0.75">
      <c r="A14" s="7">
        <v>3</v>
      </c>
      <c r="B14" s="1"/>
      <c r="C14" s="1"/>
    </row>
    <row r="15" spans="1:5" x14ac:dyDescent="0.75">
      <c r="A15" s="7">
        <v>4</v>
      </c>
      <c r="B15" s="1"/>
      <c r="C15" s="1"/>
    </row>
    <row r="16" spans="1:5" x14ac:dyDescent="0.75">
      <c r="A16" s="7">
        <v>5</v>
      </c>
      <c r="B16" s="1"/>
      <c r="C16" s="1"/>
    </row>
    <row r="17" spans="1:5" x14ac:dyDescent="0.75">
      <c r="A17" s="7">
        <v>6</v>
      </c>
      <c r="B17" s="1"/>
      <c r="C17" s="1"/>
    </row>
    <row r="18" spans="1:5" x14ac:dyDescent="0.75">
      <c r="A18" s="7">
        <v>7</v>
      </c>
      <c r="B18" s="1"/>
      <c r="C18" s="1"/>
    </row>
    <row r="19" spans="1:5" x14ac:dyDescent="0.75">
      <c r="A19" s="7">
        <v>8</v>
      </c>
      <c r="B19" s="1"/>
      <c r="C19" s="1"/>
    </row>
    <row r="21" spans="1:5" x14ac:dyDescent="0.75">
      <c r="A21" s="4" t="s">
        <v>84</v>
      </c>
    </row>
    <row r="23" spans="1:5" ht="15.5" thickBot="1" x14ac:dyDescent="0.9">
      <c r="A23" s="26" t="s">
        <v>85</v>
      </c>
      <c r="B23" s="26"/>
      <c r="D23" s="26" t="s">
        <v>86</v>
      </c>
      <c r="E23" s="26"/>
    </row>
    <row r="24" spans="1:5" x14ac:dyDescent="0.75">
      <c r="A24" s="6" t="s">
        <v>31</v>
      </c>
      <c r="B24" s="7">
        <v>5</v>
      </c>
      <c r="D24" s="6" t="s">
        <v>18</v>
      </c>
      <c r="E24" s="7">
        <v>0.2</v>
      </c>
    </row>
    <row r="25" spans="1:5" x14ac:dyDescent="0.75">
      <c r="A25" s="6" t="s">
        <v>30</v>
      </c>
      <c r="B25" s="7">
        <v>1</v>
      </c>
    </row>
    <row r="27" spans="1:5" x14ac:dyDescent="0.75">
      <c r="A27" s="23" t="s">
        <v>87</v>
      </c>
      <c r="B27" s="25" t="s">
        <v>64</v>
      </c>
      <c r="C27" s="25"/>
    </row>
    <row r="28" spans="1:5" x14ac:dyDescent="0.75">
      <c r="A28" s="24"/>
      <c r="B28" s="9" t="s">
        <v>85</v>
      </c>
      <c r="C28" s="9" t="s">
        <v>86</v>
      </c>
    </row>
    <row r="29" spans="1:5" x14ac:dyDescent="0.75">
      <c r="A29" s="7">
        <v>0</v>
      </c>
      <c r="B29" s="1"/>
      <c r="C29" s="1"/>
    </row>
    <row r="30" spans="1:5" x14ac:dyDescent="0.75">
      <c r="A30" s="7">
        <v>0.1</v>
      </c>
      <c r="B30" s="1"/>
      <c r="C30" s="1"/>
    </row>
    <row r="31" spans="1:5" x14ac:dyDescent="0.75">
      <c r="A31" s="7">
        <v>0.2</v>
      </c>
      <c r="B31" s="1"/>
      <c r="C31" s="1"/>
    </row>
    <row r="32" spans="1:5" x14ac:dyDescent="0.75">
      <c r="A32" s="7">
        <v>0.3</v>
      </c>
      <c r="B32" s="1"/>
      <c r="C32" s="1"/>
    </row>
    <row r="33" spans="1:3" x14ac:dyDescent="0.75">
      <c r="A33" s="7">
        <v>0.4</v>
      </c>
      <c r="B33" s="1"/>
      <c r="C33" s="1"/>
    </row>
    <row r="34" spans="1:3" x14ac:dyDescent="0.75">
      <c r="A34" s="7">
        <v>0.5</v>
      </c>
      <c r="B34" s="1"/>
      <c r="C34" s="1"/>
    </row>
    <row r="35" spans="1:3" x14ac:dyDescent="0.75">
      <c r="A35" s="7">
        <v>0.6</v>
      </c>
      <c r="B35" s="1"/>
      <c r="C35" s="1"/>
    </row>
    <row r="36" spans="1:3" x14ac:dyDescent="0.75">
      <c r="A36" s="7">
        <v>0.7</v>
      </c>
      <c r="B36" s="1"/>
      <c r="C36" s="1"/>
    </row>
    <row r="37" spans="1:3" x14ac:dyDescent="0.75">
      <c r="A37" s="7">
        <v>0.8</v>
      </c>
      <c r="B37" s="1"/>
      <c r="C37" s="1"/>
    </row>
    <row r="38" spans="1:3" x14ac:dyDescent="0.75">
      <c r="A38" s="7">
        <v>0.9</v>
      </c>
      <c r="B38" s="1"/>
      <c r="C38" s="1"/>
    </row>
    <row r="39" spans="1:3" x14ac:dyDescent="0.75">
      <c r="A39" s="7">
        <v>1</v>
      </c>
      <c r="B39" s="1"/>
      <c r="C39" s="1"/>
    </row>
    <row r="40" spans="1:3" x14ac:dyDescent="0.75">
      <c r="A40" s="7">
        <v>1.1000000000000001</v>
      </c>
      <c r="B40" s="1"/>
      <c r="C40" s="1"/>
    </row>
    <row r="41" spans="1:3" x14ac:dyDescent="0.75">
      <c r="A41" s="7">
        <v>1.2</v>
      </c>
      <c r="B41" s="1"/>
      <c r="C41" s="1"/>
    </row>
    <row r="42" spans="1:3" x14ac:dyDescent="0.75">
      <c r="A42" s="7">
        <v>1.3</v>
      </c>
      <c r="B42" s="1"/>
      <c r="C42" s="1"/>
    </row>
    <row r="43" spans="1:3" x14ac:dyDescent="0.75">
      <c r="A43" s="7">
        <v>1.4</v>
      </c>
      <c r="B43" s="1"/>
      <c r="C43" s="1"/>
    </row>
    <row r="44" spans="1:3" x14ac:dyDescent="0.75">
      <c r="A44" s="7">
        <v>1.5</v>
      </c>
      <c r="B44" s="1"/>
      <c r="C44" s="1"/>
    </row>
    <row r="45" spans="1:3" x14ac:dyDescent="0.75">
      <c r="A45" s="7">
        <v>1.6</v>
      </c>
      <c r="B45" s="1"/>
      <c r="C45" s="1"/>
    </row>
    <row r="46" spans="1:3" x14ac:dyDescent="0.75">
      <c r="A46" s="7">
        <v>1.7</v>
      </c>
      <c r="B46" s="1"/>
      <c r="C46" s="1"/>
    </row>
    <row r="47" spans="1:3" x14ac:dyDescent="0.75">
      <c r="A47" s="7">
        <v>1.8</v>
      </c>
      <c r="B47" s="1"/>
      <c r="C47" s="1"/>
    </row>
    <row r="48" spans="1:3" x14ac:dyDescent="0.75">
      <c r="A48" s="7">
        <v>1.9</v>
      </c>
      <c r="B48" s="1"/>
      <c r="C48" s="1"/>
    </row>
    <row r="49" spans="1:3" x14ac:dyDescent="0.75">
      <c r="A49" s="7">
        <v>2</v>
      </c>
      <c r="B49" s="1"/>
      <c r="C49" s="1"/>
    </row>
    <row r="50" spans="1:3" x14ac:dyDescent="0.75">
      <c r="A50" s="7">
        <v>2.1</v>
      </c>
      <c r="B50" s="1"/>
      <c r="C50" s="1"/>
    </row>
    <row r="51" spans="1:3" x14ac:dyDescent="0.75">
      <c r="A51" s="7">
        <v>2.2000000000000002</v>
      </c>
      <c r="B51" s="1"/>
      <c r="C51" s="1"/>
    </row>
    <row r="52" spans="1:3" x14ac:dyDescent="0.75">
      <c r="A52" s="7">
        <v>2.2999999999999998</v>
      </c>
      <c r="B52" s="1"/>
      <c r="C52" s="1"/>
    </row>
    <row r="53" spans="1:3" x14ac:dyDescent="0.75">
      <c r="A53" s="7">
        <v>2.4</v>
      </c>
      <c r="B53" s="1"/>
      <c r="C53" s="1"/>
    </row>
    <row r="54" spans="1:3" x14ac:dyDescent="0.75">
      <c r="A54" s="7">
        <v>2.5</v>
      </c>
      <c r="B54" s="1"/>
      <c r="C54" s="1"/>
    </row>
    <row r="55" spans="1:3" x14ac:dyDescent="0.75">
      <c r="A55" s="7">
        <v>2.6</v>
      </c>
      <c r="B55" s="1"/>
      <c r="C55" s="1"/>
    </row>
    <row r="56" spans="1:3" x14ac:dyDescent="0.75">
      <c r="A56" s="7">
        <v>2.7</v>
      </c>
      <c r="B56" s="1"/>
      <c r="C56" s="1"/>
    </row>
    <row r="57" spans="1:3" x14ac:dyDescent="0.75">
      <c r="A57" s="7">
        <v>2.8</v>
      </c>
      <c r="B57" s="1"/>
      <c r="C57" s="1"/>
    </row>
    <row r="58" spans="1:3" x14ac:dyDescent="0.75">
      <c r="A58" s="7">
        <v>2.9</v>
      </c>
      <c r="B58" s="1"/>
      <c r="C58" s="1"/>
    </row>
    <row r="59" spans="1:3" x14ac:dyDescent="0.75">
      <c r="A59" s="7">
        <v>3</v>
      </c>
      <c r="B59" s="1"/>
      <c r="C59" s="1"/>
    </row>
    <row r="60" spans="1:3" x14ac:dyDescent="0.75">
      <c r="A60" s="7">
        <v>3.1</v>
      </c>
      <c r="B60" s="1"/>
      <c r="C60" s="1"/>
    </row>
    <row r="61" spans="1:3" x14ac:dyDescent="0.75">
      <c r="A61" s="7">
        <v>3.2</v>
      </c>
      <c r="B61" s="1"/>
      <c r="C61" s="1"/>
    </row>
    <row r="62" spans="1:3" x14ac:dyDescent="0.75">
      <c r="A62" s="7">
        <v>3.3</v>
      </c>
      <c r="B62" s="1"/>
      <c r="C62" s="1"/>
    </row>
    <row r="63" spans="1:3" x14ac:dyDescent="0.75">
      <c r="A63" s="7">
        <v>3.4</v>
      </c>
      <c r="B63" s="1"/>
      <c r="C63" s="1"/>
    </row>
    <row r="64" spans="1:3" x14ac:dyDescent="0.75">
      <c r="A64" s="7">
        <v>3.5</v>
      </c>
      <c r="B64" s="1"/>
      <c r="C64" s="1"/>
    </row>
    <row r="65" spans="1:3" x14ac:dyDescent="0.75">
      <c r="A65" s="7">
        <v>3.6</v>
      </c>
      <c r="B65" s="1"/>
      <c r="C65" s="1"/>
    </row>
    <row r="66" spans="1:3" x14ac:dyDescent="0.75">
      <c r="A66" s="7">
        <v>3.7</v>
      </c>
      <c r="B66" s="1"/>
      <c r="C66" s="1"/>
    </row>
    <row r="67" spans="1:3" x14ac:dyDescent="0.75">
      <c r="A67" s="7">
        <v>3.8</v>
      </c>
      <c r="B67" s="1"/>
      <c r="C67" s="1"/>
    </row>
    <row r="68" spans="1:3" x14ac:dyDescent="0.75">
      <c r="A68" s="7">
        <v>3.9</v>
      </c>
      <c r="B68" s="1"/>
      <c r="C68" s="1"/>
    </row>
    <row r="69" spans="1:3" x14ac:dyDescent="0.75">
      <c r="A69" s="7">
        <v>4</v>
      </c>
      <c r="B69" s="1"/>
      <c r="C69" s="1"/>
    </row>
    <row r="70" spans="1:3" x14ac:dyDescent="0.75">
      <c r="A70" s="7">
        <v>4.0999999999999996</v>
      </c>
      <c r="B70" s="1"/>
      <c r="C70" s="1"/>
    </row>
    <row r="71" spans="1:3" x14ac:dyDescent="0.75">
      <c r="A71" s="7">
        <v>4.2</v>
      </c>
      <c r="B71" s="1"/>
      <c r="C71" s="1"/>
    </row>
    <row r="72" spans="1:3" x14ac:dyDescent="0.75">
      <c r="A72" s="7">
        <v>4.3</v>
      </c>
      <c r="B72" s="1"/>
      <c r="C72" s="1"/>
    </row>
    <row r="73" spans="1:3" x14ac:dyDescent="0.75">
      <c r="A73" s="7">
        <v>4.4000000000000004</v>
      </c>
      <c r="B73" s="1"/>
      <c r="C73" s="1"/>
    </row>
    <row r="74" spans="1:3" x14ac:dyDescent="0.75">
      <c r="A74" s="7">
        <v>4.5</v>
      </c>
      <c r="B74" s="1"/>
      <c r="C74" s="1"/>
    </row>
    <row r="75" spans="1:3" x14ac:dyDescent="0.75">
      <c r="A75" s="7">
        <v>4.5999999999999996</v>
      </c>
      <c r="B75" s="1"/>
      <c r="C75" s="1"/>
    </row>
    <row r="76" spans="1:3" x14ac:dyDescent="0.75">
      <c r="A76" s="7">
        <v>4.7</v>
      </c>
      <c r="B76" s="1"/>
      <c r="C76" s="1"/>
    </row>
    <row r="77" spans="1:3" x14ac:dyDescent="0.75">
      <c r="A77" s="7">
        <v>4.8</v>
      </c>
      <c r="B77" s="1"/>
      <c r="C77" s="1"/>
    </row>
    <row r="78" spans="1:3" x14ac:dyDescent="0.75">
      <c r="A78" s="7">
        <v>4.9000000000000004</v>
      </c>
      <c r="B78" s="1"/>
      <c r="C78" s="1"/>
    </row>
    <row r="79" spans="1:3" x14ac:dyDescent="0.75">
      <c r="A79" s="7">
        <v>5</v>
      </c>
      <c r="B79" s="1"/>
      <c r="C79" s="1"/>
    </row>
    <row r="80" spans="1:3" x14ac:dyDescent="0.75">
      <c r="A80" s="7">
        <v>5.0999999999999996</v>
      </c>
      <c r="B80" s="1"/>
      <c r="C80" s="1"/>
    </row>
    <row r="81" spans="1:3" x14ac:dyDescent="0.75">
      <c r="A81" s="7">
        <v>5.2</v>
      </c>
      <c r="B81" s="1"/>
      <c r="C81" s="1"/>
    </row>
    <row r="82" spans="1:3" x14ac:dyDescent="0.75">
      <c r="A82" s="7">
        <v>5.3</v>
      </c>
      <c r="B82" s="1"/>
      <c r="C82" s="1"/>
    </row>
    <row r="83" spans="1:3" x14ac:dyDescent="0.75">
      <c r="A83" s="7">
        <v>5.4</v>
      </c>
      <c r="B83" s="1"/>
      <c r="C83" s="1"/>
    </row>
    <row r="84" spans="1:3" x14ac:dyDescent="0.75">
      <c r="A84" s="7">
        <v>5.5</v>
      </c>
      <c r="B84" s="1"/>
      <c r="C84" s="1"/>
    </row>
    <row r="85" spans="1:3" x14ac:dyDescent="0.75">
      <c r="A85" s="7">
        <v>5.6</v>
      </c>
      <c r="B85" s="1"/>
      <c r="C85" s="1"/>
    </row>
    <row r="86" spans="1:3" x14ac:dyDescent="0.75">
      <c r="A86" s="7">
        <v>5.7</v>
      </c>
      <c r="B86" s="1"/>
      <c r="C86" s="1"/>
    </row>
    <row r="87" spans="1:3" x14ac:dyDescent="0.75">
      <c r="A87" s="7">
        <v>5.8</v>
      </c>
      <c r="B87" s="1"/>
      <c r="C87" s="1"/>
    </row>
    <row r="88" spans="1:3" x14ac:dyDescent="0.75">
      <c r="A88" s="7">
        <v>5.9</v>
      </c>
      <c r="B88" s="1"/>
      <c r="C88" s="1"/>
    </row>
    <row r="89" spans="1:3" x14ac:dyDescent="0.75">
      <c r="A89" s="7">
        <v>6</v>
      </c>
      <c r="B89" s="1"/>
      <c r="C89" s="1"/>
    </row>
    <row r="90" spans="1:3" x14ac:dyDescent="0.75">
      <c r="A90" s="7">
        <v>6.1</v>
      </c>
      <c r="B90" s="1"/>
      <c r="C90" s="1"/>
    </row>
    <row r="91" spans="1:3" x14ac:dyDescent="0.75">
      <c r="A91" s="7">
        <v>6.2</v>
      </c>
      <c r="B91" s="1"/>
      <c r="C91" s="1"/>
    </row>
    <row r="92" spans="1:3" x14ac:dyDescent="0.75">
      <c r="A92" s="7">
        <v>6.3</v>
      </c>
      <c r="B92" s="1"/>
      <c r="C92" s="1"/>
    </row>
    <row r="93" spans="1:3" x14ac:dyDescent="0.75">
      <c r="A93" s="7">
        <v>6.4</v>
      </c>
      <c r="B93" s="1"/>
      <c r="C93" s="1"/>
    </row>
    <row r="94" spans="1:3" x14ac:dyDescent="0.75">
      <c r="A94" s="7">
        <v>6.5</v>
      </c>
      <c r="B94" s="1"/>
      <c r="C94" s="1"/>
    </row>
    <row r="95" spans="1:3" x14ac:dyDescent="0.75">
      <c r="A95" s="7">
        <v>6.6</v>
      </c>
      <c r="B95" s="1"/>
      <c r="C95" s="1"/>
    </row>
    <row r="96" spans="1:3" x14ac:dyDescent="0.75">
      <c r="A96" s="7">
        <v>6.7</v>
      </c>
      <c r="B96" s="1"/>
      <c r="C96" s="1"/>
    </row>
    <row r="97" spans="1:3" x14ac:dyDescent="0.75">
      <c r="A97" s="7">
        <v>6.8</v>
      </c>
      <c r="B97" s="1"/>
      <c r="C97" s="1"/>
    </row>
    <row r="98" spans="1:3" x14ac:dyDescent="0.75">
      <c r="A98" s="7">
        <v>6.9</v>
      </c>
      <c r="B98" s="1"/>
      <c r="C98" s="1"/>
    </row>
    <row r="99" spans="1:3" x14ac:dyDescent="0.75">
      <c r="A99" s="7">
        <v>7</v>
      </c>
      <c r="B99" s="1"/>
      <c r="C99" s="1"/>
    </row>
    <row r="100" spans="1:3" x14ac:dyDescent="0.75">
      <c r="A100" s="7">
        <v>7.1</v>
      </c>
      <c r="B100" s="1"/>
      <c r="C100" s="1"/>
    </row>
    <row r="101" spans="1:3" x14ac:dyDescent="0.75">
      <c r="A101" s="7">
        <v>7.2</v>
      </c>
      <c r="B101" s="1"/>
      <c r="C101" s="1"/>
    </row>
    <row r="102" spans="1:3" x14ac:dyDescent="0.75">
      <c r="A102" s="7">
        <v>7.3</v>
      </c>
      <c r="B102" s="1"/>
      <c r="C102" s="1"/>
    </row>
    <row r="103" spans="1:3" x14ac:dyDescent="0.75">
      <c r="A103" s="7">
        <v>7.4</v>
      </c>
      <c r="B103" s="1"/>
      <c r="C103" s="1"/>
    </row>
    <row r="104" spans="1:3" x14ac:dyDescent="0.75">
      <c r="A104" s="7">
        <v>7.5</v>
      </c>
      <c r="B104" s="1"/>
      <c r="C104" s="1"/>
    </row>
    <row r="105" spans="1:3" x14ac:dyDescent="0.75">
      <c r="A105" s="7">
        <v>7.6</v>
      </c>
      <c r="B105" s="1"/>
      <c r="C105" s="1"/>
    </row>
    <row r="106" spans="1:3" x14ac:dyDescent="0.75">
      <c r="A106" s="7">
        <v>7.7</v>
      </c>
      <c r="B106" s="1"/>
      <c r="C106" s="1"/>
    </row>
    <row r="107" spans="1:3" x14ac:dyDescent="0.75">
      <c r="A107" s="7">
        <v>7.8</v>
      </c>
      <c r="B107" s="1"/>
      <c r="C107" s="1"/>
    </row>
    <row r="108" spans="1:3" x14ac:dyDescent="0.75">
      <c r="A108" s="7">
        <v>7.9</v>
      </c>
      <c r="B108" s="1"/>
      <c r="C108" s="1"/>
    </row>
    <row r="109" spans="1:3" x14ac:dyDescent="0.75">
      <c r="A109" s="7">
        <v>8</v>
      </c>
      <c r="B109" s="1"/>
      <c r="C109" s="1"/>
    </row>
    <row r="110" spans="1:3" x14ac:dyDescent="0.75">
      <c r="A110" s="7">
        <v>8.1</v>
      </c>
      <c r="B110" s="1"/>
      <c r="C110" s="1"/>
    </row>
    <row r="111" spans="1:3" x14ac:dyDescent="0.75">
      <c r="A111" s="7">
        <v>8.1999999999999993</v>
      </c>
      <c r="B111" s="1"/>
      <c r="C111" s="1"/>
    </row>
    <row r="112" spans="1:3" x14ac:dyDescent="0.75">
      <c r="A112" s="7">
        <v>8.3000000000000007</v>
      </c>
      <c r="B112" s="1"/>
      <c r="C112" s="1"/>
    </row>
    <row r="113" spans="1:3" x14ac:dyDescent="0.75">
      <c r="A113" s="7">
        <v>8.4</v>
      </c>
      <c r="B113" s="1"/>
      <c r="C113" s="1"/>
    </row>
    <row r="114" spans="1:3" x14ac:dyDescent="0.75">
      <c r="A114" s="7">
        <v>8.5</v>
      </c>
      <c r="B114" s="1"/>
      <c r="C114" s="1"/>
    </row>
    <row r="115" spans="1:3" x14ac:dyDescent="0.75">
      <c r="A115" s="7">
        <v>8.6</v>
      </c>
      <c r="B115" s="1"/>
      <c r="C115" s="1"/>
    </row>
    <row r="116" spans="1:3" x14ac:dyDescent="0.75">
      <c r="A116" s="7">
        <v>8.6999999999999993</v>
      </c>
      <c r="B116" s="1"/>
      <c r="C116" s="1"/>
    </row>
    <row r="117" spans="1:3" x14ac:dyDescent="0.75">
      <c r="A117" s="7">
        <v>8.8000000000000007</v>
      </c>
      <c r="B117" s="1"/>
      <c r="C117" s="1"/>
    </row>
    <row r="118" spans="1:3" x14ac:dyDescent="0.75">
      <c r="A118" s="7">
        <v>8.9</v>
      </c>
      <c r="B118" s="1"/>
      <c r="C118" s="1"/>
    </row>
    <row r="119" spans="1:3" x14ac:dyDescent="0.75">
      <c r="A119" s="7">
        <v>9</v>
      </c>
      <c r="B119" s="1"/>
      <c r="C119" s="1"/>
    </row>
    <row r="120" spans="1:3" x14ac:dyDescent="0.75">
      <c r="A120" s="7">
        <v>9.1</v>
      </c>
      <c r="B120" s="1"/>
      <c r="C120" s="1"/>
    </row>
    <row r="121" spans="1:3" x14ac:dyDescent="0.75">
      <c r="A121" s="7">
        <v>9.1999999999999993</v>
      </c>
      <c r="B121" s="1"/>
      <c r="C121" s="1"/>
    </row>
    <row r="122" spans="1:3" x14ac:dyDescent="0.75">
      <c r="A122" s="7">
        <v>9.3000000000000007</v>
      </c>
      <c r="B122" s="1"/>
      <c r="C122" s="1"/>
    </row>
    <row r="123" spans="1:3" x14ac:dyDescent="0.75">
      <c r="A123" s="7">
        <v>9.4</v>
      </c>
      <c r="B123" s="1"/>
      <c r="C123" s="1"/>
    </row>
    <row r="124" spans="1:3" x14ac:dyDescent="0.75">
      <c r="A124" s="7">
        <v>9.5</v>
      </c>
      <c r="B124" s="1"/>
      <c r="C124" s="1"/>
    </row>
    <row r="125" spans="1:3" x14ac:dyDescent="0.75">
      <c r="A125" s="7">
        <v>9.6</v>
      </c>
      <c r="B125" s="1"/>
      <c r="C125" s="1"/>
    </row>
    <row r="126" spans="1:3" x14ac:dyDescent="0.75">
      <c r="A126" s="7">
        <v>9.6999999999999993</v>
      </c>
      <c r="B126" s="1"/>
      <c r="C126" s="1"/>
    </row>
    <row r="127" spans="1:3" x14ac:dyDescent="0.75">
      <c r="A127" s="7">
        <v>9.8000000000000007</v>
      </c>
      <c r="B127" s="1"/>
      <c r="C127" s="1"/>
    </row>
    <row r="128" spans="1:3" x14ac:dyDescent="0.75">
      <c r="A128" s="7">
        <v>9.9</v>
      </c>
      <c r="B128" s="1"/>
      <c r="C128" s="1"/>
    </row>
    <row r="129" spans="1:3" x14ac:dyDescent="0.75">
      <c r="A129" s="7">
        <v>10</v>
      </c>
      <c r="B129" s="1"/>
      <c r="C129" s="1"/>
    </row>
  </sheetData>
  <mergeCells count="9">
    <mergeCell ref="A27:A28"/>
    <mergeCell ref="B27:C27"/>
    <mergeCell ref="A1:D1"/>
    <mergeCell ref="A5:B5"/>
    <mergeCell ref="D5:E5"/>
    <mergeCell ref="A9:A10"/>
    <mergeCell ref="B9:C9"/>
    <mergeCell ref="A23:B23"/>
    <mergeCell ref="D23:E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8510-4EAC-4A1B-9330-C0AA467C3460}">
  <dimension ref="A13:F56"/>
  <sheetViews>
    <sheetView tabSelected="1" zoomScaleNormal="100" workbookViewId="0">
      <selection activeCell="I23" sqref="I23"/>
    </sheetView>
  </sheetViews>
  <sheetFormatPr baseColWidth="10" defaultRowHeight="14.75" x14ac:dyDescent="0.75"/>
  <cols>
    <col min="1" max="1" width="22.26953125" customWidth="1"/>
    <col min="2" max="6" width="14.7265625" customWidth="1"/>
  </cols>
  <sheetData>
    <row r="13" spans="1:6" x14ac:dyDescent="0.75">
      <c r="A13" s="6" t="s">
        <v>101</v>
      </c>
      <c r="B13" s="10">
        <v>1E-3</v>
      </c>
    </row>
    <row r="15" spans="1:6" ht="18" thickBot="1" x14ac:dyDescent="1">
      <c r="A15" s="11" t="s">
        <v>88</v>
      </c>
      <c r="B15" s="11"/>
      <c r="C15" s="11"/>
      <c r="D15" s="11"/>
      <c r="E15" s="11"/>
      <c r="F15" s="11"/>
    </row>
    <row r="16" spans="1:6" ht="15.5" thickTop="1" x14ac:dyDescent="0.75">
      <c r="A16" s="12"/>
      <c r="B16" s="3" t="s">
        <v>89</v>
      </c>
      <c r="C16" s="3" t="s">
        <v>90</v>
      </c>
      <c r="D16" s="3" t="s">
        <v>91</v>
      </c>
      <c r="E16" s="3" t="s">
        <v>102</v>
      </c>
      <c r="F16" s="3" t="s">
        <v>103</v>
      </c>
    </row>
    <row r="17" spans="1:6" x14ac:dyDescent="0.75">
      <c r="A17" s="16" t="s">
        <v>104</v>
      </c>
      <c r="B17" s="7">
        <v>1200</v>
      </c>
      <c r="C17" s="7">
        <v>400</v>
      </c>
      <c r="D17" s="7">
        <v>600</v>
      </c>
      <c r="E17" s="7">
        <v>500</v>
      </c>
      <c r="F17" s="7">
        <v>900</v>
      </c>
    </row>
    <row r="18" spans="1:6" x14ac:dyDescent="0.75">
      <c r="A18" s="16" t="s">
        <v>105</v>
      </c>
      <c r="B18" s="10">
        <v>5.0000000000000001E-3</v>
      </c>
      <c r="C18" s="13">
        <v>0.01</v>
      </c>
      <c r="D18" s="10">
        <v>7.4999999999999997E-3</v>
      </c>
      <c r="E18" s="10">
        <v>7.4999999999999997E-3</v>
      </c>
      <c r="F18" s="10">
        <v>5.0000000000000001E-3</v>
      </c>
    </row>
    <row r="19" spans="1:6" x14ac:dyDescent="0.75">
      <c r="A19" s="14" t="s">
        <v>92</v>
      </c>
      <c r="B19" s="1"/>
      <c r="C19" s="1"/>
      <c r="D19" s="1"/>
      <c r="E19" s="1"/>
      <c r="F19" s="1"/>
    </row>
    <row r="20" spans="1:6" ht="29.5" x14ac:dyDescent="0.75">
      <c r="A20" s="19" t="s">
        <v>106</v>
      </c>
      <c r="B20" s="1"/>
      <c r="C20" s="1"/>
      <c r="D20" s="1"/>
      <c r="E20" s="1"/>
      <c r="F20" s="1"/>
    </row>
    <row r="21" spans="1:6" x14ac:dyDescent="0.75">
      <c r="A21" s="14" t="s">
        <v>93</v>
      </c>
      <c r="B21" s="15"/>
      <c r="C21" s="15"/>
      <c r="D21" s="15"/>
      <c r="E21" s="15"/>
      <c r="F21" s="15"/>
    </row>
    <row r="23" spans="1:6" ht="18" thickBot="1" x14ac:dyDescent="1">
      <c r="A23" s="11" t="s">
        <v>94</v>
      </c>
      <c r="B23" s="11"/>
      <c r="C23" s="11"/>
      <c r="D23" s="11"/>
      <c r="E23" s="11"/>
      <c r="F23" s="11"/>
    </row>
    <row r="24" spans="1:6" ht="15.5" thickTop="1" x14ac:dyDescent="0.75">
      <c r="B24" s="3" t="s">
        <v>89</v>
      </c>
      <c r="C24" s="3" t="s">
        <v>90</v>
      </c>
      <c r="D24" s="3" t="s">
        <v>91</v>
      </c>
      <c r="E24" s="3" t="s">
        <v>102</v>
      </c>
      <c r="F24" s="3" t="s">
        <v>103</v>
      </c>
    </row>
    <row r="25" spans="1:6" x14ac:dyDescent="0.75">
      <c r="A25" s="16" t="s">
        <v>95</v>
      </c>
      <c r="B25" s="13">
        <v>0.1</v>
      </c>
      <c r="C25" s="13">
        <v>0.12</v>
      </c>
      <c r="D25" s="13">
        <v>0.08</v>
      </c>
      <c r="E25" s="13">
        <v>0.1</v>
      </c>
      <c r="F25" s="13">
        <v>7.0000000000000007E-2</v>
      </c>
    </row>
    <row r="26" spans="1:6" ht="29.5" x14ac:dyDescent="0.75">
      <c r="A26" s="14" t="s">
        <v>96</v>
      </c>
      <c r="B26" s="1"/>
      <c r="C26" s="1"/>
      <c r="D26" s="1"/>
      <c r="E26" s="1"/>
      <c r="F26" s="1"/>
    </row>
    <row r="27" spans="1:6" ht="29.5" x14ac:dyDescent="0.75">
      <c r="A27" s="14" t="s">
        <v>97</v>
      </c>
      <c r="B27" s="15"/>
      <c r="C27" s="15"/>
      <c r="D27" s="15"/>
      <c r="E27" s="15"/>
      <c r="F27" s="15"/>
    </row>
    <row r="29" spans="1:6" ht="18" thickBot="1" x14ac:dyDescent="1">
      <c r="A29" s="11" t="s">
        <v>98</v>
      </c>
      <c r="B29" s="11"/>
      <c r="C29" s="11"/>
      <c r="D29" s="11"/>
      <c r="E29" s="11"/>
      <c r="F29" s="11"/>
    </row>
    <row r="30" spans="1:6" ht="15.5" thickTop="1" x14ac:dyDescent="0.75">
      <c r="A30" s="27" t="s">
        <v>99</v>
      </c>
      <c r="B30" s="28" t="s">
        <v>100</v>
      </c>
      <c r="C30" s="28"/>
      <c r="D30" s="28"/>
      <c r="E30" s="28"/>
      <c r="F30" s="28"/>
    </row>
    <row r="31" spans="1:6" x14ac:dyDescent="0.75">
      <c r="A31" s="27"/>
      <c r="B31" s="17" t="s">
        <v>89</v>
      </c>
      <c r="C31" s="17" t="s">
        <v>90</v>
      </c>
      <c r="D31" s="17" t="s">
        <v>91</v>
      </c>
      <c r="E31" s="17" t="s">
        <v>102</v>
      </c>
      <c r="F31" s="17" t="s">
        <v>103</v>
      </c>
    </row>
    <row r="32" spans="1:6" x14ac:dyDescent="0.75">
      <c r="A32" s="18">
        <v>0.01</v>
      </c>
      <c r="B32" s="1"/>
      <c r="C32" s="1"/>
      <c r="D32" s="1"/>
      <c r="E32" s="1"/>
      <c r="F32" s="1"/>
    </row>
    <row r="33" spans="1:6" x14ac:dyDescent="0.75">
      <c r="A33" s="18">
        <v>0.02</v>
      </c>
      <c r="B33" s="1"/>
      <c r="C33" s="1"/>
      <c r="D33" s="1"/>
      <c r="E33" s="1"/>
      <c r="F33" s="1"/>
    </row>
    <row r="34" spans="1:6" x14ac:dyDescent="0.75">
      <c r="A34" s="18">
        <v>0.03</v>
      </c>
      <c r="B34" s="1"/>
      <c r="C34" s="1"/>
      <c r="D34" s="1"/>
      <c r="E34" s="1"/>
      <c r="F34" s="1"/>
    </row>
    <row r="35" spans="1:6" x14ac:dyDescent="0.75">
      <c r="A35" s="18">
        <v>0.04</v>
      </c>
      <c r="B35" s="1"/>
      <c r="C35" s="1"/>
      <c r="D35" s="1"/>
      <c r="E35" s="1"/>
      <c r="F35" s="1"/>
    </row>
    <row r="36" spans="1:6" x14ac:dyDescent="0.75">
      <c r="A36" s="18">
        <v>0.05</v>
      </c>
      <c r="B36" s="1"/>
      <c r="C36" s="1"/>
      <c r="D36" s="1"/>
      <c r="E36" s="1"/>
      <c r="F36" s="1"/>
    </row>
    <row r="37" spans="1:6" x14ac:dyDescent="0.75">
      <c r="A37" s="18">
        <v>0.06</v>
      </c>
      <c r="B37" s="1"/>
      <c r="C37" s="1"/>
      <c r="D37" s="1"/>
      <c r="E37" s="1"/>
      <c r="F37" s="1"/>
    </row>
    <row r="38" spans="1:6" x14ac:dyDescent="0.75">
      <c r="A38" s="18">
        <v>7.0000000000000007E-2</v>
      </c>
      <c r="B38" s="1"/>
      <c r="C38" s="1"/>
      <c r="D38" s="1"/>
      <c r="E38" s="1"/>
      <c r="F38" s="1"/>
    </row>
    <row r="39" spans="1:6" x14ac:dyDescent="0.75">
      <c r="A39" s="18">
        <v>0.08</v>
      </c>
      <c r="B39" s="1"/>
      <c r="C39" s="1"/>
      <c r="D39" s="1"/>
      <c r="E39" s="1"/>
      <c r="F39" s="1"/>
    </row>
    <row r="40" spans="1:6" x14ac:dyDescent="0.75">
      <c r="A40" s="18">
        <v>0.09</v>
      </c>
      <c r="B40" s="1"/>
      <c r="C40" s="1"/>
      <c r="D40" s="1"/>
      <c r="E40" s="1"/>
      <c r="F40" s="1"/>
    </row>
    <row r="41" spans="1:6" x14ac:dyDescent="0.75">
      <c r="A41" s="18">
        <v>0.1</v>
      </c>
      <c r="B41" s="1"/>
      <c r="C41" s="1"/>
      <c r="D41" s="1"/>
      <c r="E41" s="1"/>
      <c r="F41" s="1"/>
    </row>
    <row r="42" spans="1:6" x14ac:dyDescent="0.75">
      <c r="A42" s="18">
        <v>0.11</v>
      </c>
      <c r="B42" s="1"/>
      <c r="C42" s="1"/>
      <c r="D42" s="1"/>
      <c r="E42" s="1"/>
      <c r="F42" s="1"/>
    </row>
    <row r="43" spans="1:6" x14ac:dyDescent="0.75">
      <c r="A43" s="18">
        <v>0.12</v>
      </c>
      <c r="B43" s="1"/>
      <c r="C43" s="1"/>
      <c r="D43" s="1"/>
      <c r="E43" s="1"/>
      <c r="F43" s="1"/>
    </row>
    <row r="44" spans="1:6" x14ac:dyDescent="0.75">
      <c r="A44" s="18">
        <v>0.13</v>
      </c>
      <c r="B44" s="1"/>
      <c r="C44" s="1"/>
      <c r="D44" s="1"/>
      <c r="E44" s="1"/>
      <c r="F44" s="1"/>
    </row>
    <row r="45" spans="1:6" x14ac:dyDescent="0.75">
      <c r="A45" s="18">
        <v>0.14000000000000001</v>
      </c>
      <c r="B45" s="1"/>
      <c r="C45" s="1"/>
      <c r="D45" s="1"/>
      <c r="E45" s="1"/>
      <c r="F45" s="1"/>
    </row>
    <row r="46" spans="1:6" x14ac:dyDescent="0.75">
      <c r="A46" s="18">
        <v>0.15</v>
      </c>
      <c r="B46" s="1"/>
      <c r="C46" s="1"/>
      <c r="D46" s="1"/>
      <c r="E46" s="1"/>
      <c r="F46" s="1"/>
    </row>
    <row r="47" spans="1:6" x14ac:dyDescent="0.75">
      <c r="A47" s="18">
        <v>0.16</v>
      </c>
      <c r="B47" s="1"/>
      <c r="C47" s="1"/>
      <c r="D47" s="1"/>
      <c r="E47" s="1"/>
      <c r="F47" s="1"/>
    </row>
    <row r="48" spans="1:6" x14ac:dyDescent="0.75">
      <c r="A48" s="18">
        <v>0.17</v>
      </c>
      <c r="B48" s="1"/>
      <c r="C48" s="1"/>
      <c r="D48" s="1"/>
      <c r="E48" s="1"/>
      <c r="F48" s="1"/>
    </row>
    <row r="49" spans="1:6" x14ac:dyDescent="0.75">
      <c r="A49" s="18">
        <v>0.18</v>
      </c>
      <c r="B49" s="1"/>
      <c r="C49" s="1"/>
      <c r="D49" s="1"/>
      <c r="E49" s="1"/>
      <c r="F49" s="1"/>
    </row>
    <row r="50" spans="1:6" x14ac:dyDescent="0.75">
      <c r="A50" s="18">
        <v>0.19</v>
      </c>
      <c r="B50" s="1"/>
      <c r="C50" s="1"/>
      <c r="D50" s="1"/>
      <c r="E50" s="1"/>
      <c r="F50" s="1"/>
    </row>
    <row r="51" spans="1:6" x14ac:dyDescent="0.75">
      <c r="A51" s="18">
        <v>0.2</v>
      </c>
      <c r="B51" s="1"/>
      <c r="C51" s="1"/>
      <c r="D51" s="1"/>
      <c r="E51" s="1"/>
      <c r="F51" s="1"/>
    </row>
    <row r="52" spans="1:6" x14ac:dyDescent="0.75">
      <c r="A52" s="18">
        <v>0.21</v>
      </c>
      <c r="B52" s="1"/>
      <c r="C52" s="1"/>
      <c r="D52" s="1"/>
      <c r="E52" s="1"/>
      <c r="F52" s="1"/>
    </row>
    <row r="53" spans="1:6" x14ac:dyDescent="0.75">
      <c r="A53" s="18">
        <v>0.22</v>
      </c>
      <c r="B53" s="1"/>
      <c r="C53" s="1"/>
      <c r="D53" s="1"/>
      <c r="E53" s="1"/>
      <c r="F53" s="1"/>
    </row>
    <row r="54" spans="1:6" x14ac:dyDescent="0.75">
      <c r="A54" s="18">
        <v>0.23</v>
      </c>
      <c r="B54" s="1"/>
      <c r="C54" s="1"/>
      <c r="D54" s="1"/>
      <c r="E54" s="1"/>
      <c r="F54" s="1"/>
    </row>
    <row r="55" spans="1:6" x14ac:dyDescent="0.75">
      <c r="A55" s="18">
        <v>0.24</v>
      </c>
      <c r="B55" s="1"/>
      <c r="C55" s="1"/>
      <c r="D55" s="1"/>
      <c r="E55" s="1"/>
      <c r="F55" s="1"/>
    </row>
    <row r="56" spans="1:6" x14ac:dyDescent="0.75">
      <c r="A56" s="18">
        <v>0.25</v>
      </c>
      <c r="B56" s="1"/>
      <c r="C56" s="1"/>
      <c r="D56" s="1"/>
      <c r="E56" s="1"/>
      <c r="F56" s="1"/>
    </row>
  </sheetData>
  <mergeCells count="2">
    <mergeCell ref="A30:A31"/>
    <mergeCell ref="B30:F30"/>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8F4BD34-EFA3-4F97-98C2-B0555019276C}"/>
</file>

<file path=customXml/itemProps2.xml><?xml version="1.0" encoding="utf-8"?>
<ds:datastoreItem xmlns:ds="http://schemas.openxmlformats.org/officeDocument/2006/customXml" ds:itemID="{CFF4EF21-39B1-41DA-B809-97BD4D43CE9D}"/>
</file>

<file path=customXml/itemProps3.xml><?xml version="1.0" encoding="utf-8"?>
<ds:datastoreItem xmlns:ds="http://schemas.openxmlformats.org/officeDocument/2006/customXml" ds:itemID="{E1FA53A4-D1A5-464E-81D8-1762154E11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E1</vt:lpstr>
      <vt:lpstr>E2</vt:lpstr>
      <vt:lpstr>E3</vt:lpstr>
      <vt:lpstr>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 Ríos Prado</dc:creator>
  <cp:lastModifiedBy>Rosa Ríos Prado</cp:lastModifiedBy>
  <dcterms:created xsi:type="dcterms:W3CDTF">2026-02-16T10:23:02Z</dcterms:created>
  <dcterms:modified xsi:type="dcterms:W3CDTF">2026-03-01T08:49:46Z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