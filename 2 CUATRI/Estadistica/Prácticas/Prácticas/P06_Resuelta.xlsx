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udcgal-my.sharepoint.com/personal/rosa_rios_udc_es/Documents/Clases/Estadistica/Resueltas/"/>
    </mc:Choice>
  </mc:AlternateContent>
  <xr:revisionPtr revIDLastSave="62" documentId="8_{53EA10DA-7055-4087-A554-96472D4AE0FD}" xr6:coauthVersionLast="47" xr6:coauthVersionMax="47" xr10:uidLastSave="{93CD957C-5C41-443A-8FCB-8C3B81937473}"/>
  <bookViews>
    <workbookView xWindow="-19290" yWindow="-90" windowWidth="19380" windowHeight="11460" activeTab="2" xr2:uid="{00000000-000D-0000-FFFF-FFFF00000000}"/>
  </bookViews>
  <sheets>
    <sheet name="5.3" sheetId="1" r:id="rId1"/>
    <sheet name="5.32" sheetId="16" r:id="rId2"/>
    <sheet name="5.22" sheetId="17"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0" i="17" l="1"/>
  <c r="B39" i="16"/>
  <c r="B36" i="1"/>
  <c r="B51" i="17"/>
  <c r="B45" i="17"/>
  <c r="B44" i="17"/>
  <c r="B43" i="17"/>
  <c r="B41" i="17"/>
  <c r="B40" i="17"/>
  <c r="B32" i="17"/>
  <c r="B30" i="17"/>
  <c r="B31" i="17"/>
  <c r="B29" i="17"/>
  <c r="H25" i="16"/>
  <c r="H21" i="16"/>
  <c r="H20" i="16"/>
  <c r="B29" i="16"/>
  <c r="B32" i="16" s="1"/>
  <c r="B20" i="16"/>
  <c r="B23" i="16" s="1"/>
  <c r="B22" i="16" l="1"/>
  <c r="B31" i="16"/>
  <c r="B37" i="1" l="1"/>
  <c r="B28" i="1"/>
  <c r="B27" i="1"/>
  <c r="B19" i="1"/>
  <c r="B18" i="1"/>
</calcChain>
</file>

<file path=xl/sharedStrings.xml><?xml version="1.0" encoding="utf-8"?>
<sst xmlns="http://schemas.openxmlformats.org/spreadsheetml/2006/main" count="85" uniqueCount="43">
  <si>
    <t>Apartado a</t>
  </si>
  <si>
    <t>Apartado b</t>
  </si>
  <si>
    <t>Apartado c</t>
  </si>
  <si>
    <t>n</t>
  </si>
  <si>
    <t>p(defectuosas)</t>
  </si>
  <si>
    <t>nºmax defectuosas</t>
  </si>
  <si>
    <t>p(lote rechazado)</t>
  </si>
  <si>
    <t>lotes rechazados</t>
  </si>
  <si>
    <t>lotes rechazados &gt;</t>
  </si>
  <si>
    <r>
      <t>p</t>
    </r>
    <r>
      <rPr>
        <i/>
        <vertAlign val="subscript"/>
        <sz val="16"/>
        <color theme="0"/>
        <rFont val="Calibri"/>
        <family val="2"/>
        <scheme val="minor"/>
      </rPr>
      <t>a</t>
    </r>
  </si>
  <si>
    <t>Variable aleatoria</t>
  </si>
  <si>
    <t>Probabilidad</t>
  </si>
  <si>
    <t>X: Número de defectuosos-&gt; B(20 , 0,05)</t>
  </si>
  <si>
    <t>p(10 lotes rechazados)</t>
  </si>
  <si>
    <t>Y: Número lotes rechazados-&gt; B(30 , 0,0075)</t>
  </si>
  <si>
    <r>
      <t>p(Y</t>
    </r>
    <r>
      <rPr>
        <sz val="16"/>
        <color theme="0"/>
        <rFont val="Aptos Narrow"/>
        <family val="2"/>
      </rPr>
      <t>≥5</t>
    </r>
    <r>
      <rPr>
        <i/>
        <sz val="16"/>
        <color theme="0"/>
        <rFont val="Calibri"/>
        <family val="2"/>
        <scheme val="minor"/>
      </rPr>
      <t>)</t>
    </r>
  </si>
  <si>
    <t>Función de distribución</t>
  </si>
  <si>
    <t>P(X=0)</t>
  </si>
  <si>
    <t>Poisson</t>
  </si>
  <si>
    <t>λ</t>
  </si>
  <si>
    <t>X:Nº de pinchazos en 10.000 km</t>
  </si>
  <si>
    <r>
      <t>P(X&lt;3)=P(X</t>
    </r>
    <r>
      <rPr>
        <sz val="16"/>
        <color theme="1"/>
        <rFont val="Aptos Narrow"/>
        <family val="2"/>
      </rPr>
      <t>≤</t>
    </r>
    <r>
      <rPr>
        <sz val="16"/>
        <color theme="1"/>
        <rFont val="Calibri"/>
        <family val="2"/>
      </rPr>
      <t>2)</t>
    </r>
  </si>
  <si>
    <t>Y:Nº de pinchazos en n km</t>
  </si>
  <si>
    <t>P(Y=0)=0,44933</t>
  </si>
  <si>
    <t>Apartado d</t>
  </si>
  <si>
    <t>Z: Nº de vehículos que han pinchado  cuando han recorrido 10.000 km</t>
  </si>
  <si>
    <r>
      <t>Binomial (100;1-p</t>
    </r>
    <r>
      <rPr>
        <vertAlign val="subscript"/>
        <sz val="16"/>
        <color theme="1"/>
        <rFont val="Calibri"/>
        <family val="2"/>
        <scheme val="minor"/>
      </rPr>
      <t>a</t>
    </r>
    <r>
      <rPr>
        <sz val="16"/>
        <color theme="1"/>
        <rFont val="Calibri"/>
        <family val="2"/>
        <scheme val="minor"/>
      </rPr>
      <t>)</t>
    </r>
  </si>
  <si>
    <t>Probabilidad de distribución</t>
  </si>
  <si>
    <t>P(Z&lt;2)</t>
  </si>
  <si>
    <t>Apartado e</t>
  </si>
  <si>
    <t>E(Z)</t>
  </si>
  <si>
    <t>X:Nº patatas dañadas en una bolsa</t>
  </si>
  <si>
    <t>Binomial</t>
  </si>
  <si>
    <t>p</t>
  </si>
  <si>
    <t>Patatas por bolsa</t>
  </si>
  <si>
    <t>Nº máximo de patatas dañadas por bolsa</t>
  </si>
  <si>
    <t>Y: nº de bolsas por las que hay que pagar compensación</t>
  </si>
  <si>
    <t>y</t>
  </si>
  <si>
    <t>P</t>
  </si>
  <si>
    <r>
      <t>P(Y</t>
    </r>
    <r>
      <rPr>
        <sz val="16"/>
        <color theme="1"/>
        <rFont val="Aptos Narrow"/>
        <family val="2"/>
      </rPr>
      <t>≥</t>
    </r>
    <r>
      <rPr>
        <sz val="16"/>
        <color theme="1"/>
        <rFont val="Calibri"/>
        <family val="2"/>
      </rPr>
      <t>6)</t>
    </r>
  </si>
  <si>
    <r>
      <t>p</t>
    </r>
    <r>
      <rPr>
        <i/>
        <vertAlign val="subscript"/>
        <sz val="16"/>
        <color theme="0"/>
        <rFont val="Calibri"/>
        <family val="2"/>
        <scheme val="minor"/>
      </rPr>
      <t>b</t>
    </r>
  </si>
  <si>
    <t>Compensación esperada Binomial</t>
  </si>
  <si>
    <t>Compensación esperada Poisson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</si>
</sst>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
    <numFmt numFmtId="165" formatCode="0.000000000000"/>
  </numFmts>
  <fonts count="10" x14ac:knownFonts="1">
    <font>
      <sz val="11"/>
      <color theme="1"/>
      <name val="Calibri"/>
      <family val="2"/>
      <scheme val="minor"/>
    </font>
    <font>
      <sz val="11"/>
      <color theme="1"/>
      <name val="Calibri"/>
      <family val="2"/>
      <scheme val="minor"/>
    </font>
    <font>
      <sz val="11"/>
      <color theme="0"/>
      <name val="Calibri"/>
      <family val="2"/>
      <scheme val="minor"/>
    </font>
    <font>
      <sz val="16"/>
      <color theme="1"/>
      <name val="Calibri"/>
      <family val="2"/>
      <scheme val="minor"/>
    </font>
    <font>
      <i/>
      <sz val="16"/>
      <color theme="0"/>
      <name val="Calibri"/>
      <family val="2"/>
      <scheme val="minor"/>
    </font>
    <font>
      <i/>
      <vertAlign val="subscript"/>
      <sz val="16"/>
      <color theme="0"/>
      <name val="Calibri"/>
      <family val="2"/>
      <scheme val="minor"/>
    </font>
    <font>
      <sz val="16"/>
      <color theme="0"/>
      <name val="Aptos Narrow"/>
      <family val="2"/>
    </font>
    <font>
      <sz val="16"/>
      <color theme="1"/>
      <name val="Aptos Narrow"/>
      <family val="2"/>
    </font>
    <font>
      <sz val="16"/>
      <color theme="1"/>
      <name val="Calibri"/>
      <family val="2"/>
    </font>
    <font>
      <vertAlign val="subscript"/>
      <sz val="16"/>
      <color theme="1"/>
      <name val="Calibri"/>
      <family val="2"/>
      <scheme val="minor"/>
    </font>
  </fonts>
  <fills count="5">
    <fill>
      <patternFill patternType="none"/>
    </fill>
    <fill>
      <patternFill patternType="gray125"/>
    </fill>
    <fill>
      <patternFill patternType="solid">
        <fgColor theme="4"/>
      </patternFill>
    </fill>
    <fill>
      <patternFill patternType="solid">
        <fgColor theme="5" tint="0.79998168889431442"/>
        <bgColor indexed="65"/>
      </patternFill>
    </fill>
    <fill>
      <patternFill patternType="solid">
        <fgColor theme="6" tint="0.79998168889431442"/>
        <bgColor indexed="65"/>
      </patternFill>
    </fill>
  </fills>
  <borders count="2">
    <border>
      <left/>
      <right/>
      <top/>
      <bottom/>
      <diagonal/>
    </border>
    <border>
      <left/>
      <right/>
      <top/>
      <bottom style="double">
        <color theme="4"/>
      </bottom>
      <diagonal/>
    </border>
  </borders>
  <cellStyleXfs count="4">
    <xf numFmtId="0" fontId="0" fillId="0" borderId="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cellStyleXfs>
  <cellXfs count="13">
    <xf numFmtId="0" fontId="0" fillId="0" borderId="0" xfId="0"/>
    <xf numFmtId="0" fontId="3" fillId="0" borderId="0" xfId="0" applyFont="1"/>
    <xf numFmtId="0" fontId="3" fillId="0" borderId="1" xfId="0" applyFont="1" applyBorder="1"/>
    <xf numFmtId="0" fontId="4" fillId="2" borderId="0" xfId="1" applyFont="1" applyAlignment="1">
      <alignment horizontal="left"/>
    </xf>
    <xf numFmtId="0" fontId="4" fillId="2" borderId="0" xfId="1" applyFont="1" applyAlignment="1">
      <alignment horizontal="center"/>
    </xf>
    <xf numFmtId="9" fontId="3" fillId="4" borderId="0" xfId="3" applyNumberFormat="1" applyFont="1"/>
    <xf numFmtId="1" fontId="3" fillId="4" borderId="0" xfId="3" applyNumberFormat="1" applyFont="1"/>
    <xf numFmtId="0" fontId="3" fillId="3" borderId="0" xfId="2" applyFont="1" applyAlignment="1">
      <alignment horizontal="center"/>
    </xf>
    <xf numFmtId="0" fontId="6" fillId="2" borderId="0" xfId="1" applyFont="1" applyAlignment="1">
      <alignment horizontal="left"/>
    </xf>
    <xf numFmtId="10" fontId="3" fillId="3" borderId="0" xfId="2" applyNumberFormat="1" applyFont="1" applyAlignment="1">
      <alignment horizontal="center"/>
    </xf>
    <xf numFmtId="0" fontId="3" fillId="3" borderId="0" xfId="2" applyFont="1" applyAlignment="1">
      <alignment horizontal="center"/>
    </xf>
    <xf numFmtId="164" fontId="3" fillId="3" borderId="0" xfId="2" applyNumberFormat="1" applyFont="1" applyAlignment="1">
      <alignment horizontal="center"/>
    </xf>
    <xf numFmtId="165" fontId="3" fillId="3" borderId="0" xfId="2" applyNumberFormat="1" applyFont="1" applyAlignment="1">
      <alignment horizontal="center"/>
    </xf>
  </cellXfs>
  <cellStyles count="4">
    <cellStyle name="20% - Énfasis2" xfId="2" builtinId="34"/>
    <cellStyle name="20% - Énfasis3" xfId="3" builtinId="38"/>
    <cellStyle name="Énfasis1" xfId="1" builtinId="2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13</xdr:col>
      <xdr:colOff>84602</xdr:colOff>
      <xdr:row>8</xdr:row>
      <xdr:rowOff>0</xdr:rowOff>
    </xdr:to>
    <xdr:sp macro="" textlink="">
      <xdr:nvSpPr>
        <xdr:cNvPr id="3" name="CuadroTexto 2">
          <a:extLst>
            <a:ext uri="{FF2B5EF4-FFF2-40B4-BE49-F238E27FC236}">
              <a16:creationId xmlns:a16="http://schemas.microsoft.com/office/drawing/2014/main" id="{6D678152-06BB-4988-9DF3-5C97EBC4D486}"/>
            </a:ext>
          </a:extLst>
        </xdr:cNvPr>
        <xdr:cNvSpPr txBox="1"/>
      </xdr:nvSpPr>
      <xdr:spPr>
        <a:xfrm>
          <a:off x="1" y="0"/>
          <a:ext cx="10377463" cy="21863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600" b="1">
              <a:solidFill>
                <a:schemeClr val="dk1"/>
              </a:solidFill>
              <a:effectLst/>
              <a:latin typeface="+mn-lt"/>
              <a:ea typeface="+mn-ea"/>
              <a:cs typeface="+mn-cs"/>
            </a:rPr>
            <a:t>5-3.</a:t>
          </a:r>
          <a:r>
            <a:rPr lang="es-ES_tradnl" sz="1600">
              <a:solidFill>
                <a:schemeClr val="dk1"/>
              </a:solidFill>
              <a:effectLst/>
              <a:latin typeface="+mn-lt"/>
              <a:ea typeface="+mn-ea"/>
              <a:cs typeface="+mn-cs"/>
            </a:rPr>
            <a:t> La producción de bombillas de una factoría es tal que el 5% de las bombillas son defectuosas. Las bombillas se inspeccionan en grandes lotes. Un lote se acepta si la muestra de 20 bombillas seleccionada al azar de él contiene no más de 2 defectuosas; en caso contrario se rechaza. Calcular la probabilidad de que:</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a)</a:t>
          </a:r>
          <a:r>
            <a:rPr lang="es-ES_tradnl" sz="1600" baseline="0">
              <a:solidFill>
                <a:schemeClr val="dk1"/>
              </a:solidFill>
              <a:effectLst/>
              <a:latin typeface="+mn-lt"/>
              <a:ea typeface="+mn-ea"/>
              <a:cs typeface="+mn-cs"/>
            </a:rPr>
            <a:t> </a:t>
          </a:r>
          <a:r>
            <a:rPr lang="es-ES_tradnl" sz="1600">
              <a:solidFill>
                <a:schemeClr val="dk1"/>
              </a:solidFill>
              <a:effectLst/>
              <a:latin typeface="+mn-lt"/>
              <a:ea typeface="+mn-ea"/>
              <a:cs typeface="+mn-cs"/>
            </a:rPr>
            <a:t>un lote sea rechazado en la inspección,</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b) de 30 lotes inspeccionados se rechacen 10,</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c) de 30 lotes inspeccionados al menos 5 sean rechazados.</a:t>
          </a:r>
          <a:endParaRPr lang="es-ES" sz="1600">
            <a:solidFill>
              <a:schemeClr val="dk1"/>
            </a:solidFill>
            <a:effectLst/>
            <a:latin typeface="+mn-lt"/>
            <a:ea typeface="+mn-ea"/>
            <a:cs typeface="+mn-cs"/>
          </a:endParaRPr>
        </a:p>
        <a:p>
          <a:pPr eaLnBrk="1" fontAlgn="auto" latinLnBrk="0" hangingPunct="1"/>
          <a:endParaRPr lang="es-ES" sz="1400">
            <a:effectLst/>
          </a:endParaRPr>
        </a:p>
        <a:p>
          <a:endParaRPr lang="es-ES" sz="1100" kern="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19050</xdr:colOff>
      <xdr:row>13</xdr:row>
      <xdr:rowOff>133350</xdr:rowOff>
    </xdr:to>
    <xdr:sp macro="" textlink="">
      <xdr:nvSpPr>
        <xdr:cNvPr id="2" name="CuadroTexto 1">
          <a:extLst>
            <a:ext uri="{FF2B5EF4-FFF2-40B4-BE49-F238E27FC236}">
              <a16:creationId xmlns:a16="http://schemas.microsoft.com/office/drawing/2014/main" id="{495012BE-C0E3-47FD-9E05-8F0F9586507F}"/>
            </a:ext>
          </a:extLst>
        </xdr:cNvPr>
        <xdr:cNvSpPr txBox="1"/>
      </xdr:nvSpPr>
      <xdr:spPr>
        <a:xfrm>
          <a:off x="0" y="0"/>
          <a:ext cx="9163050" cy="3600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600" b="1">
              <a:solidFill>
                <a:schemeClr val="dk1"/>
              </a:solidFill>
              <a:effectLst/>
              <a:latin typeface="+mn-lt"/>
              <a:ea typeface="+mn-ea"/>
              <a:cs typeface="+mn-cs"/>
            </a:rPr>
            <a:t>5-32.</a:t>
          </a:r>
          <a:r>
            <a:rPr lang="es-ES_tradnl" sz="1600">
              <a:solidFill>
                <a:schemeClr val="dk1"/>
              </a:solidFill>
              <a:effectLst/>
              <a:latin typeface="+mn-lt"/>
              <a:ea typeface="+mn-ea"/>
              <a:cs typeface="+mn-cs"/>
            </a:rPr>
            <a:t> Una gran empresa de transporte utiliza para sus vehículos unos neumáticos de los que se sabe que el número de pinchazos que sufre un vehículo tiene una distribución de Poisson de media 0.2 pinchazos por cada 50.000 Km recorridos. Si el vehículo recorre en dos meses una distancia de 10.000 Km, calcular:</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lvl="0"/>
          <a:r>
            <a:rPr lang="es-ES_tradnl" sz="1600">
              <a:solidFill>
                <a:schemeClr val="dk1"/>
              </a:solidFill>
              <a:effectLst/>
              <a:latin typeface="+mn-lt"/>
              <a:ea typeface="+mn-ea"/>
              <a:cs typeface="+mn-cs"/>
            </a:rPr>
            <a:t>a)Probabilidad de que no tenga pinchazos.</a:t>
          </a:r>
          <a:endParaRPr lang="es-ES" sz="1600">
            <a:solidFill>
              <a:schemeClr val="dk1"/>
            </a:solidFill>
            <a:effectLst/>
            <a:latin typeface="+mn-lt"/>
            <a:ea typeface="+mn-ea"/>
            <a:cs typeface="+mn-cs"/>
          </a:endParaRPr>
        </a:p>
        <a:p>
          <a:pPr lvl="0"/>
          <a:r>
            <a:rPr lang="es-ES_tradnl" sz="1600">
              <a:solidFill>
                <a:schemeClr val="dk1"/>
              </a:solidFill>
              <a:effectLst/>
              <a:latin typeface="+mn-lt"/>
              <a:ea typeface="+mn-ea"/>
              <a:cs typeface="+mn-cs"/>
            </a:rPr>
            <a:t>b)Probabilidad de que tenga menos de tres pinchazos.</a:t>
          </a:r>
          <a:endParaRPr lang="es-ES" sz="1600">
            <a:solidFill>
              <a:schemeClr val="dk1"/>
            </a:solidFill>
            <a:effectLst/>
            <a:latin typeface="+mn-lt"/>
            <a:ea typeface="+mn-ea"/>
            <a:cs typeface="+mn-cs"/>
          </a:endParaRPr>
        </a:p>
        <a:p>
          <a:pPr lvl="0"/>
          <a:r>
            <a:rPr lang="es-ES_tradnl" sz="1600">
              <a:solidFill>
                <a:schemeClr val="dk1"/>
              </a:solidFill>
              <a:effectLst/>
              <a:latin typeface="+mn-lt"/>
              <a:ea typeface="+mn-ea"/>
              <a:cs typeface="+mn-cs"/>
            </a:rPr>
            <a:t>c)¿Qué número de kilómetros debe recorrer para que la probabilidad de no tener ningún pinchazo sea 0.44933?</a:t>
          </a:r>
        </a:p>
        <a:p>
          <a:pPr lvl="0"/>
          <a:endParaRPr lang="es-ES" sz="16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s-ES_tradnl" sz="1600">
              <a:solidFill>
                <a:schemeClr val="dk1"/>
              </a:solidFill>
              <a:effectLst/>
              <a:latin typeface="+mn-lt"/>
              <a:ea typeface="+mn-ea"/>
              <a:cs typeface="+mn-cs"/>
            </a:rPr>
            <a:t>Si la empresa dispone de una flota de 100 vehículos iguales que emplean el mismo tipo de neumáticos:</a:t>
          </a:r>
          <a:endParaRPr lang="es-ES" sz="1600">
            <a:solidFill>
              <a:schemeClr val="dk1"/>
            </a:solidFill>
            <a:effectLst/>
            <a:latin typeface="+mn-lt"/>
            <a:ea typeface="+mn-ea"/>
            <a:cs typeface="+mn-cs"/>
          </a:endParaRPr>
        </a:p>
        <a:p>
          <a:pPr lvl="0"/>
          <a:r>
            <a:rPr lang="es-ES_tradnl" sz="1600">
              <a:solidFill>
                <a:schemeClr val="dk1"/>
              </a:solidFill>
              <a:effectLst/>
              <a:latin typeface="+mn-lt"/>
              <a:ea typeface="+mn-ea"/>
              <a:cs typeface="+mn-cs"/>
            </a:rPr>
            <a:t>d)¿Cuál es la probabilidad de haber pinchado menos de dos vehículos de la flota después de que todos hayan recorrido 10.000 Km?</a:t>
          </a:r>
          <a:endParaRPr lang="es-ES" sz="1600">
            <a:solidFill>
              <a:schemeClr val="dk1"/>
            </a:solidFill>
            <a:effectLst/>
            <a:latin typeface="+mn-lt"/>
            <a:ea typeface="+mn-ea"/>
            <a:cs typeface="+mn-cs"/>
          </a:endParaRPr>
        </a:p>
        <a:p>
          <a:pPr lvl="0"/>
          <a:r>
            <a:rPr lang="es-ES_tradnl" sz="1600">
              <a:solidFill>
                <a:schemeClr val="dk1"/>
              </a:solidFill>
              <a:effectLst/>
              <a:latin typeface="+mn-lt"/>
              <a:ea typeface="+mn-ea"/>
              <a:cs typeface="+mn-cs"/>
            </a:rPr>
            <a:t>e)¿Cuál es el número esperado de vehículos que pinchen después de que todos hayan recorrido 10.000 Km?</a:t>
          </a:r>
          <a:endParaRPr lang="es-ES" sz="1600">
            <a:solidFill>
              <a:schemeClr val="dk1"/>
            </a:solidFill>
            <a:effectLst/>
            <a:latin typeface="+mn-lt"/>
            <a:ea typeface="+mn-ea"/>
            <a:cs typeface="+mn-cs"/>
          </a:endParaRPr>
        </a:p>
        <a:p>
          <a:pPr eaLnBrk="1" fontAlgn="auto" latinLnBrk="0" hangingPunct="1"/>
          <a:endParaRPr lang="es-ES" sz="1400">
            <a:effectLst/>
          </a:endParaRPr>
        </a:p>
        <a:p>
          <a:endParaRPr lang="es-ES" sz="1100" kern="12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0</xdr:rowOff>
    </xdr:from>
    <xdr:to>
      <xdr:col>12</xdr:col>
      <xdr:colOff>83821</xdr:colOff>
      <xdr:row>18</xdr:row>
      <xdr:rowOff>175895</xdr:rowOff>
    </xdr:to>
    <xdr:sp macro="" textlink="">
      <xdr:nvSpPr>
        <xdr:cNvPr id="2" name="CuadroTexto 1">
          <a:extLst>
            <a:ext uri="{FF2B5EF4-FFF2-40B4-BE49-F238E27FC236}">
              <a16:creationId xmlns:a16="http://schemas.microsoft.com/office/drawing/2014/main" id="{8B1AF48C-003E-441B-A9E8-53046D201FBC}"/>
            </a:ext>
          </a:extLst>
        </xdr:cNvPr>
        <xdr:cNvSpPr txBox="1"/>
      </xdr:nvSpPr>
      <xdr:spPr>
        <a:xfrm>
          <a:off x="1" y="0"/>
          <a:ext cx="12641580" cy="36048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600" b="1">
              <a:solidFill>
                <a:schemeClr val="dk1"/>
              </a:solidFill>
              <a:effectLst/>
              <a:latin typeface="+mn-lt"/>
              <a:ea typeface="+mn-ea"/>
              <a:cs typeface="+mn-cs"/>
            </a:rPr>
            <a:t>5-22.</a:t>
          </a:r>
          <a:r>
            <a:rPr lang="es-ES_tradnl" sz="1600">
              <a:solidFill>
                <a:schemeClr val="dk1"/>
              </a:solidFill>
              <a:effectLst/>
              <a:latin typeface="+mn-lt"/>
              <a:ea typeface="+mn-ea"/>
              <a:cs typeface="+mn-cs"/>
            </a:rPr>
            <a:t> Un granjero compra regularmente en un almacén de semillas un gran suministro de patatas para sembrar. Las patatas se venden en bolsas de 320 unidades. Debido al deterioro en calidad por causas naturales y de transporte, hay por término medio una probabilidad del 1.25% de que una patata esté dañada en una bolsa. Se llega a un acuerdo entre el almacén de semillas y el granjero, por el cual éste acepta un 2.5% de patatas dañadas en la bolsa, pero el almacén pagará una compensación al granjero si la bolsa contiene un porcentaje de patatas en malas condiciones superior al 2.5%.</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lvl="0"/>
          <a:r>
            <a:rPr lang="es-ES_tradnl" sz="1600">
              <a:solidFill>
                <a:schemeClr val="dk1"/>
              </a:solidFill>
              <a:effectLst/>
              <a:latin typeface="+mn-lt"/>
              <a:ea typeface="+mn-ea"/>
              <a:cs typeface="+mn-cs"/>
            </a:rPr>
            <a:t>a)Calcular la probabilidad de que el almacén tenga que pagar la compensación por una bolsa de patatas suministrada al granjero.</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El granjero necesita al año 120 bolsas y se sabe que por término medio la compensación por bolsa es 95 céntimos de euro. Calcular:</a:t>
          </a:r>
          <a:endParaRPr lang="es-ES" sz="1600">
            <a:solidFill>
              <a:schemeClr val="dk1"/>
            </a:solidFill>
            <a:effectLst/>
            <a:latin typeface="+mn-lt"/>
            <a:ea typeface="+mn-ea"/>
            <a:cs typeface="+mn-cs"/>
          </a:endParaRPr>
        </a:p>
        <a:p>
          <a:r>
            <a:rPr lang="es-ES_tradnl" sz="1600">
              <a:solidFill>
                <a:schemeClr val="dk1"/>
              </a:solidFill>
              <a:effectLst/>
              <a:latin typeface="+mn-lt"/>
              <a:ea typeface="+mn-ea"/>
              <a:cs typeface="+mn-cs"/>
            </a:rPr>
            <a:t> </a:t>
          </a:r>
          <a:endParaRPr lang="es-ES" sz="1600">
            <a:solidFill>
              <a:schemeClr val="dk1"/>
            </a:solidFill>
            <a:effectLst/>
            <a:latin typeface="+mn-lt"/>
            <a:ea typeface="+mn-ea"/>
            <a:cs typeface="+mn-cs"/>
          </a:endParaRPr>
        </a:p>
        <a:p>
          <a:pPr lvl="0"/>
          <a:r>
            <a:rPr lang="es-ES_tradnl" sz="1600">
              <a:solidFill>
                <a:schemeClr val="dk1"/>
              </a:solidFill>
              <a:effectLst/>
              <a:latin typeface="+mn-lt"/>
              <a:ea typeface="+mn-ea"/>
              <a:cs typeface="+mn-cs"/>
            </a:rPr>
            <a:t>b)La probabilidad de que el valor anual de la compensación que deba pagar el almacén sea al menos de 570 céntimos de euro.</a:t>
          </a:r>
          <a:endParaRPr lang="es-ES" sz="1600">
            <a:solidFill>
              <a:schemeClr val="dk1"/>
            </a:solidFill>
            <a:effectLst/>
            <a:latin typeface="+mn-lt"/>
            <a:ea typeface="+mn-ea"/>
            <a:cs typeface="+mn-cs"/>
          </a:endParaRPr>
        </a:p>
        <a:p>
          <a:pPr lvl="0"/>
          <a:r>
            <a:rPr lang="es-ES_tradnl" sz="1600">
              <a:solidFill>
                <a:schemeClr val="dk1"/>
              </a:solidFill>
              <a:effectLst/>
              <a:latin typeface="+mn-lt"/>
              <a:ea typeface="+mn-ea"/>
              <a:cs typeface="+mn-cs"/>
            </a:rPr>
            <a:t>c)La compensación esperada por año.</a:t>
          </a:r>
          <a:endParaRPr lang="es-ES" sz="1600">
            <a:solidFill>
              <a:schemeClr val="dk1"/>
            </a:solidFill>
            <a:effectLst/>
            <a:latin typeface="+mn-lt"/>
            <a:ea typeface="+mn-ea"/>
            <a:cs typeface="+mn-cs"/>
          </a:endParaRPr>
        </a:p>
        <a:p>
          <a:pPr eaLnBrk="1" fontAlgn="auto" latinLnBrk="0" hangingPunct="1"/>
          <a:endParaRPr lang="es-ES" sz="1400">
            <a:effectLst/>
          </a:endParaRPr>
        </a:p>
        <a:p>
          <a:endParaRPr lang="es-ES" sz="1100" kern="12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0:C37"/>
  <sheetViews>
    <sheetView topLeftCell="A24" zoomScale="130" zoomScaleNormal="130" workbookViewId="0">
      <selection activeCell="B37" sqref="B37:C37"/>
    </sheetView>
  </sheetViews>
  <sheetFormatPr baseColWidth="10" defaultColWidth="8.7109375" defaultRowHeight="21" x14ac:dyDescent="0.35"/>
  <cols>
    <col min="1" max="1" width="28.28515625" style="1" customWidth="1"/>
    <col min="2" max="2" width="27.5703125" style="1" customWidth="1"/>
    <col min="3" max="3" width="30.28515625" style="1" customWidth="1"/>
    <col min="4" max="4" width="10.7109375" style="1" bestFit="1" customWidth="1"/>
    <col min="5" max="5" width="10.5703125" style="1" bestFit="1" customWidth="1"/>
    <col min="6" max="16384" width="8.7109375" style="1"/>
  </cols>
  <sheetData>
    <row r="10" spans="1:2" x14ac:dyDescent="0.35">
      <c r="A10" s="4" t="s">
        <v>4</v>
      </c>
      <c r="B10" s="5">
        <v>0.05</v>
      </c>
    </row>
    <row r="11" spans="1:2" x14ac:dyDescent="0.35">
      <c r="A11" s="4" t="s">
        <v>3</v>
      </c>
      <c r="B11" s="6">
        <v>20</v>
      </c>
    </row>
    <row r="12" spans="1:2" x14ac:dyDescent="0.35">
      <c r="A12" s="4" t="s">
        <v>5</v>
      </c>
      <c r="B12" s="6">
        <v>2</v>
      </c>
    </row>
    <row r="15" spans="1:2" ht="21.75" thickBot="1" x14ac:dyDescent="0.4">
      <c r="A15" s="2" t="s">
        <v>0</v>
      </c>
      <c r="B15" s="2"/>
    </row>
    <row r="16" spans="1:2" ht="21.75" thickTop="1" x14ac:dyDescent="0.35"/>
    <row r="17" spans="1:3" x14ac:dyDescent="0.35">
      <c r="A17" s="4" t="s">
        <v>10</v>
      </c>
      <c r="B17" s="10" t="s">
        <v>12</v>
      </c>
      <c r="C17" s="10"/>
    </row>
    <row r="18" spans="1:3" x14ac:dyDescent="0.35">
      <c r="A18" s="4" t="s">
        <v>6</v>
      </c>
      <c r="B18" s="10">
        <f>1-((COMBIN(20,0)*(0.05^0)*(0.95^20))+(COMBIN(20,1)*(0.05^1)*(0.95^19))+(COMBIN(20,2)*(0.05^2)*(0.95^18)))</f>
        <v>7.5483673788496519E-2</v>
      </c>
      <c r="C18" s="10"/>
    </row>
    <row r="19" spans="1:3" x14ac:dyDescent="0.35">
      <c r="A19" s="4" t="s">
        <v>6</v>
      </c>
      <c r="B19" s="10">
        <f>1-_xlfn.BINOM.DIST(B12,B11,B10,TRUE)</f>
        <v>7.5483673788496519E-2</v>
      </c>
      <c r="C19" s="10"/>
    </row>
    <row r="21" spans="1:3" ht="21.75" thickBot="1" x14ac:dyDescent="0.4">
      <c r="A21" s="2" t="s">
        <v>1</v>
      </c>
      <c r="B21" s="2"/>
    </row>
    <row r="22" spans="1:3" ht="21.75" thickTop="1" x14ac:dyDescent="0.35"/>
    <row r="23" spans="1:3" x14ac:dyDescent="0.35">
      <c r="A23" s="4" t="s">
        <v>3</v>
      </c>
      <c r="B23" s="6">
        <v>30</v>
      </c>
    </row>
    <row r="24" spans="1:3" x14ac:dyDescent="0.35">
      <c r="A24" s="4" t="s">
        <v>7</v>
      </c>
      <c r="B24" s="6">
        <v>10</v>
      </c>
    </row>
    <row r="26" spans="1:3" x14ac:dyDescent="0.35">
      <c r="A26" s="4" t="s">
        <v>10</v>
      </c>
      <c r="B26" s="10" t="s">
        <v>14</v>
      </c>
      <c r="C26" s="10"/>
    </row>
    <row r="27" spans="1:3" x14ac:dyDescent="0.35">
      <c r="A27" s="4" t="s">
        <v>13</v>
      </c>
      <c r="B27" s="10">
        <f>COMBIN(30,10)*(B18^10)*(1-B18)^20</f>
        <v>3.7548657438491187E-5</v>
      </c>
      <c r="C27" s="10"/>
    </row>
    <row r="28" spans="1:3" x14ac:dyDescent="0.35">
      <c r="A28" s="4" t="s">
        <v>13</v>
      </c>
      <c r="B28" s="10">
        <f>_xlfn.BINOM.DIST(B24,B23,B18,FALSE)</f>
        <v>3.7548657438491221E-5</v>
      </c>
      <c r="C28" s="10"/>
    </row>
    <row r="30" spans="1:3" ht="21.75" thickBot="1" x14ac:dyDescent="0.4">
      <c r="A30" s="2" t="s">
        <v>2</v>
      </c>
      <c r="B30" s="2"/>
    </row>
    <row r="31" spans="1:3" ht="21.75" thickTop="1" x14ac:dyDescent="0.35"/>
    <row r="32" spans="1:3" x14ac:dyDescent="0.35">
      <c r="A32" s="4" t="s">
        <v>3</v>
      </c>
      <c r="B32" s="6">
        <v>30</v>
      </c>
    </row>
    <row r="33" spans="1:3" x14ac:dyDescent="0.35">
      <c r="A33" s="4" t="s">
        <v>8</v>
      </c>
      <c r="B33" s="6">
        <v>5</v>
      </c>
    </row>
    <row r="35" spans="1:3" x14ac:dyDescent="0.35">
      <c r="A35" s="4" t="s">
        <v>10</v>
      </c>
      <c r="B35" s="10" t="s">
        <v>14</v>
      </c>
      <c r="C35" s="10"/>
    </row>
    <row r="36" spans="1:3" x14ac:dyDescent="0.35">
      <c r="A36" s="4" t="s">
        <v>15</v>
      </c>
      <c r="B36" s="10">
        <f>1-((COMBIN(B32,0)*(B18^0)*((1-B18)^30))+(COMBIN(B32,1)*(B18^1)*(1-B18)^29)+(COMBIN(B32,2)*(B18^2)*(1-B18)^28)+(COMBIN(B32,3)*(B18^3)*(1-B18)^27)+(COMBIN(B32,4)*(B18^4)*(1-B18)^26))</f>
        <v>7.182036518360857E-2</v>
      </c>
      <c r="C36" s="10"/>
    </row>
    <row r="37" spans="1:3" x14ac:dyDescent="0.35">
      <c r="A37" s="4" t="s">
        <v>15</v>
      </c>
      <c r="B37" s="11">
        <f>1-_xlfn.BINOM.DIST(B33-1,B32,B18,TRUE)</f>
        <v>7.1820365183608681E-2</v>
      </c>
      <c r="C37" s="11"/>
    </row>
  </sheetData>
  <mergeCells count="9">
    <mergeCell ref="B35:C35"/>
    <mergeCell ref="B36:C36"/>
    <mergeCell ref="B37:C37"/>
    <mergeCell ref="B17:C17"/>
    <mergeCell ref="B18:C18"/>
    <mergeCell ref="B19:C19"/>
    <mergeCell ref="B26:C26"/>
    <mergeCell ref="B27:C27"/>
    <mergeCell ref="B28:C2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8A949-6BCC-459B-BE81-EB6F14AAB5D0}">
  <dimension ref="A16:I39"/>
  <sheetViews>
    <sheetView topLeftCell="B7" workbookViewId="0">
      <selection activeCell="H25" sqref="H25:I25"/>
    </sheetView>
  </sheetViews>
  <sheetFormatPr baseColWidth="10" defaultColWidth="11.42578125" defaultRowHeight="21" x14ac:dyDescent="0.35"/>
  <cols>
    <col min="1" max="1" width="31.42578125" style="1" bestFit="1" customWidth="1"/>
    <col min="2" max="2" width="30.5703125" style="1" customWidth="1"/>
    <col min="3" max="3" width="22.140625" style="1" customWidth="1"/>
    <col min="4" max="6" width="11.42578125" style="1"/>
    <col min="7" max="7" width="36" style="1" bestFit="1" customWidth="1"/>
    <col min="8" max="8" width="39.7109375" style="1" customWidth="1"/>
    <col min="9" max="9" width="43.85546875" style="1" customWidth="1"/>
    <col min="10" max="16384" width="11.42578125" style="1"/>
  </cols>
  <sheetData>
    <row r="16" spans="1:8" ht="21.75" thickBot="1" x14ac:dyDescent="0.4">
      <c r="A16" s="2" t="s">
        <v>0</v>
      </c>
      <c r="B16" s="2"/>
      <c r="G16" s="2" t="s">
        <v>24</v>
      </c>
      <c r="H16" s="2"/>
    </row>
    <row r="17" spans="1:9" ht="21.75" thickTop="1" x14ac:dyDescent="0.35"/>
    <row r="18" spans="1:9" x14ac:dyDescent="0.35">
      <c r="A18" s="3" t="s">
        <v>10</v>
      </c>
      <c r="B18" s="10" t="s">
        <v>20</v>
      </c>
      <c r="C18" s="10"/>
      <c r="G18" s="3" t="s">
        <v>10</v>
      </c>
      <c r="H18" s="10" t="s">
        <v>25</v>
      </c>
      <c r="I18" s="10"/>
    </row>
    <row r="19" spans="1:9" ht="24" x14ac:dyDescent="0.45">
      <c r="A19" s="3" t="s">
        <v>16</v>
      </c>
      <c r="B19" s="10" t="s">
        <v>18</v>
      </c>
      <c r="C19" s="10"/>
      <c r="G19" s="3" t="s">
        <v>16</v>
      </c>
      <c r="H19" s="10" t="s">
        <v>26</v>
      </c>
      <c r="I19" s="10"/>
    </row>
    <row r="20" spans="1:9" x14ac:dyDescent="0.35">
      <c r="A20" s="8" t="s">
        <v>19</v>
      </c>
      <c r="B20" s="7">
        <f>0.2*10000/50000</f>
        <v>0.04</v>
      </c>
      <c r="C20" s="7"/>
      <c r="G20" s="3" t="s">
        <v>27</v>
      </c>
      <c r="H20" s="10">
        <f>1-B22</f>
        <v>3.9210560847676823E-2</v>
      </c>
      <c r="I20" s="10"/>
    </row>
    <row r="21" spans="1:9" x14ac:dyDescent="0.35">
      <c r="A21" s="3" t="s">
        <v>11</v>
      </c>
      <c r="B21" s="10" t="s">
        <v>17</v>
      </c>
      <c r="C21" s="10"/>
      <c r="G21" s="3" t="s">
        <v>28</v>
      </c>
      <c r="H21" s="10">
        <f>_xlfn.BINOM.DIST(1,100,H20,TRUE)</f>
        <v>9.306317917647941E-2</v>
      </c>
      <c r="I21" s="10"/>
    </row>
    <row r="22" spans="1:9" ht="24" x14ac:dyDescent="0.45">
      <c r="A22" s="3" t="s">
        <v>9</v>
      </c>
      <c r="B22" s="10">
        <f>(B20^0)*EXP(-B20)/FACT(0)</f>
        <v>0.96078943915232318</v>
      </c>
      <c r="C22" s="10"/>
    </row>
    <row r="23" spans="1:9" ht="24.75" thickBot="1" x14ac:dyDescent="0.5">
      <c r="A23" s="3" t="s">
        <v>9</v>
      </c>
      <c r="B23" s="10">
        <f>_xlfn.POISSON.DIST(0,B20,FALSE)</f>
        <v>0.96078943915232318</v>
      </c>
      <c r="C23" s="10"/>
      <c r="G23" s="2" t="s">
        <v>29</v>
      </c>
      <c r="H23" s="2"/>
    </row>
    <row r="24" spans="1:9" ht="21.75" thickTop="1" x14ac:dyDescent="0.35"/>
    <row r="25" spans="1:9" ht="21.75" thickBot="1" x14ac:dyDescent="0.4">
      <c r="A25" s="2" t="s">
        <v>1</v>
      </c>
      <c r="B25" s="2"/>
      <c r="G25" s="3" t="s">
        <v>30</v>
      </c>
      <c r="H25" s="10">
        <f>100*H20</f>
        <v>3.9210560847676823</v>
      </c>
      <c r="I25" s="10"/>
    </row>
    <row r="26" spans="1:9" ht="21.75" thickTop="1" x14ac:dyDescent="0.35"/>
    <row r="27" spans="1:9" x14ac:dyDescent="0.35">
      <c r="A27" s="3" t="s">
        <v>10</v>
      </c>
      <c r="B27" s="10" t="s">
        <v>20</v>
      </c>
      <c r="C27" s="10"/>
    </row>
    <row r="28" spans="1:9" x14ac:dyDescent="0.35">
      <c r="A28" s="3" t="s">
        <v>16</v>
      </c>
      <c r="B28" s="10" t="s">
        <v>18</v>
      </c>
      <c r="C28" s="10"/>
    </row>
    <row r="29" spans="1:9" x14ac:dyDescent="0.35">
      <c r="A29" s="8" t="s">
        <v>19</v>
      </c>
      <c r="B29" s="7">
        <f>0.2*10000/50000</f>
        <v>0.04</v>
      </c>
      <c r="C29" s="7"/>
    </row>
    <row r="30" spans="1:9" x14ac:dyDescent="0.35">
      <c r="A30" s="3" t="s">
        <v>11</v>
      </c>
      <c r="B30" s="10" t="s">
        <v>21</v>
      </c>
      <c r="C30" s="10"/>
    </row>
    <row r="31" spans="1:9" ht="24" x14ac:dyDescent="0.45">
      <c r="A31" s="3" t="s">
        <v>9</v>
      </c>
      <c r="B31" s="10">
        <f>(B29^0)*EXP(-B29)/FACT(0)+(B29^1)*EXP(-B29)/FACT(1)+(B29^2)*EXP(-B29)/FACT(2)</f>
        <v>0.99998964826973802</v>
      </c>
      <c r="C31" s="10"/>
    </row>
    <row r="32" spans="1:9" ht="24" x14ac:dyDescent="0.45">
      <c r="A32" s="3" t="s">
        <v>9</v>
      </c>
      <c r="B32" s="10">
        <f>_xlfn.POISSON.DIST(2,B29,TRUE)</f>
        <v>0.99998964826973802</v>
      </c>
      <c r="C32" s="10"/>
    </row>
    <row r="34" spans="1:3" ht="21.75" thickBot="1" x14ac:dyDescent="0.4">
      <c r="A34" s="2" t="s">
        <v>2</v>
      </c>
      <c r="B34" s="2"/>
    </row>
    <row r="35" spans="1:3" ht="21.75" thickTop="1" x14ac:dyDescent="0.35"/>
    <row r="36" spans="1:3" x14ac:dyDescent="0.35">
      <c r="A36" s="3" t="s">
        <v>10</v>
      </c>
      <c r="B36" s="10" t="s">
        <v>22</v>
      </c>
      <c r="C36" s="10"/>
    </row>
    <row r="37" spans="1:3" x14ac:dyDescent="0.35">
      <c r="A37" s="3" t="s">
        <v>16</v>
      </c>
      <c r="B37" s="10" t="s">
        <v>18</v>
      </c>
      <c r="C37" s="10"/>
    </row>
    <row r="38" spans="1:3" x14ac:dyDescent="0.35">
      <c r="A38" s="3" t="s">
        <v>11</v>
      </c>
      <c r="B38" s="10" t="s">
        <v>23</v>
      </c>
      <c r="C38" s="10"/>
    </row>
    <row r="39" spans="1:3" x14ac:dyDescent="0.35">
      <c r="A39" s="3" t="s">
        <v>3</v>
      </c>
      <c r="B39" s="10">
        <f>0.8*50000/0.2</f>
        <v>200000</v>
      </c>
      <c r="C39" s="10"/>
    </row>
  </sheetData>
  <mergeCells count="19">
    <mergeCell ref="B38:C38"/>
    <mergeCell ref="B39:C39"/>
    <mergeCell ref="B28:C28"/>
    <mergeCell ref="B30:C30"/>
    <mergeCell ref="B31:C31"/>
    <mergeCell ref="B32:C32"/>
    <mergeCell ref="B36:C36"/>
    <mergeCell ref="B37:C37"/>
    <mergeCell ref="B27:C27"/>
    <mergeCell ref="H18:I18"/>
    <mergeCell ref="H19:I19"/>
    <mergeCell ref="H20:I20"/>
    <mergeCell ref="H21:I21"/>
    <mergeCell ref="H25:I25"/>
    <mergeCell ref="B18:C18"/>
    <mergeCell ref="B19:C19"/>
    <mergeCell ref="B21:C21"/>
    <mergeCell ref="B22:C22"/>
    <mergeCell ref="B23:C2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BF0CD-EEBC-415B-BA0F-10286EA3A921}">
  <dimension ref="A23:C51"/>
  <sheetViews>
    <sheetView tabSelected="1" topLeftCell="A39" workbookViewId="0">
      <selection activeCell="B51" sqref="B51:C51"/>
    </sheetView>
  </sheetViews>
  <sheetFormatPr baseColWidth="10" defaultRowHeight="15" x14ac:dyDescent="0.25"/>
  <cols>
    <col min="1" max="1" width="52.7109375" bestFit="1" customWidth="1"/>
    <col min="2" max="3" width="47.5703125" customWidth="1"/>
  </cols>
  <sheetData>
    <row r="23" spans="1:3" ht="21.75" thickBot="1" x14ac:dyDescent="0.4">
      <c r="A23" s="2" t="s">
        <v>0</v>
      </c>
      <c r="B23" s="2"/>
      <c r="C23" s="1"/>
    </row>
    <row r="24" spans="1:3" ht="21.75" thickTop="1" x14ac:dyDescent="0.35">
      <c r="A24" s="1"/>
      <c r="B24" s="1"/>
      <c r="C24" s="1"/>
    </row>
    <row r="25" spans="1:3" ht="21" x14ac:dyDescent="0.35">
      <c r="A25" s="3" t="s">
        <v>10</v>
      </c>
      <c r="B25" s="10" t="s">
        <v>31</v>
      </c>
      <c r="C25" s="10"/>
    </row>
    <row r="26" spans="1:3" ht="21" x14ac:dyDescent="0.35">
      <c r="A26" s="3" t="s">
        <v>16</v>
      </c>
      <c r="B26" s="10" t="s">
        <v>32</v>
      </c>
      <c r="C26" s="10"/>
    </row>
    <row r="27" spans="1:3" ht="21" x14ac:dyDescent="0.35">
      <c r="A27" s="8" t="s">
        <v>33</v>
      </c>
      <c r="B27" s="9">
        <v>1.2500000000000001E-2</v>
      </c>
      <c r="C27" s="7"/>
    </row>
    <row r="28" spans="1:3" ht="21" x14ac:dyDescent="0.35">
      <c r="A28" s="3" t="s">
        <v>34</v>
      </c>
      <c r="B28" s="10">
        <v>320</v>
      </c>
      <c r="C28" s="10"/>
    </row>
    <row r="29" spans="1:3" ht="21" x14ac:dyDescent="0.35">
      <c r="A29" s="3" t="s">
        <v>35</v>
      </c>
      <c r="B29" s="10">
        <f>2.5%*B28</f>
        <v>8</v>
      </c>
      <c r="C29" s="10"/>
    </row>
    <row r="30" spans="1:3" ht="24" x14ac:dyDescent="0.45">
      <c r="A30" s="3" t="s">
        <v>9</v>
      </c>
      <c r="B30" s="10">
        <f>1-_xlfn.BINOM.DIST(8,B28,B27,TRUE)</f>
        <v>2.0620019130181744E-2</v>
      </c>
      <c r="C30" s="10"/>
    </row>
    <row r="31" spans="1:3" ht="21" x14ac:dyDescent="0.35">
      <c r="A31" s="8" t="s">
        <v>19</v>
      </c>
      <c r="B31" s="7">
        <f>B27*B28</f>
        <v>4</v>
      </c>
      <c r="C31" s="7"/>
    </row>
    <row r="32" spans="1:3" ht="24" x14ac:dyDescent="0.45">
      <c r="A32" s="3" t="s">
        <v>9</v>
      </c>
      <c r="B32" s="10">
        <f>1-_xlfn.POISSON.DIST(8,B31,TRUE)</f>
        <v>2.1363434487984168E-2</v>
      </c>
      <c r="C32" s="10"/>
    </row>
    <row r="36" spans="1:3" ht="21.75" thickBot="1" x14ac:dyDescent="0.4">
      <c r="A36" s="2" t="s">
        <v>1</v>
      </c>
      <c r="B36" s="2"/>
      <c r="C36" s="1"/>
    </row>
    <row r="37" spans="1:3" ht="21.75" thickTop="1" x14ac:dyDescent="0.35">
      <c r="A37" s="1"/>
      <c r="B37" s="1"/>
      <c r="C37" s="1"/>
    </row>
    <row r="38" spans="1:3" ht="21" x14ac:dyDescent="0.35">
      <c r="A38" s="3" t="s">
        <v>10</v>
      </c>
      <c r="B38" s="10" t="s">
        <v>36</v>
      </c>
      <c r="C38" s="10"/>
    </row>
    <row r="39" spans="1:3" ht="21" x14ac:dyDescent="0.35">
      <c r="A39" s="3" t="s">
        <v>16</v>
      </c>
      <c r="B39" s="10" t="s">
        <v>32</v>
      </c>
      <c r="C39" s="10"/>
    </row>
    <row r="40" spans="1:3" ht="21" x14ac:dyDescent="0.35">
      <c r="A40" s="8" t="s">
        <v>33</v>
      </c>
      <c r="B40" s="9">
        <f>B30</f>
        <v>2.0620019130181744E-2</v>
      </c>
      <c r="C40" s="7"/>
    </row>
    <row r="41" spans="1:3" ht="21" x14ac:dyDescent="0.35">
      <c r="A41" s="3" t="s">
        <v>37</v>
      </c>
      <c r="B41" s="10">
        <f>570/95</f>
        <v>6</v>
      </c>
      <c r="C41" s="10"/>
    </row>
    <row r="42" spans="1:3" ht="21" x14ac:dyDescent="0.35">
      <c r="A42" s="3" t="s">
        <v>38</v>
      </c>
      <c r="B42" s="10" t="s">
        <v>39</v>
      </c>
      <c r="C42" s="10"/>
    </row>
    <row r="43" spans="1:3" ht="24" x14ac:dyDescent="0.45">
      <c r="A43" s="3" t="s">
        <v>40</v>
      </c>
      <c r="B43" s="10">
        <f>1-_xlfn.BINOM.DIST(5,120,B40,TRUE)</f>
        <v>3.8626708267480048E-2</v>
      </c>
      <c r="C43" s="10"/>
    </row>
    <row r="44" spans="1:3" ht="21" x14ac:dyDescent="0.35">
      <c r="A44" s="8" t="s">
        <v>19</v>
      </c>
      <c r="B44" s="7">
        <f>B32*120</f>
        <v>2.5636121385581001</v>
      </c>
      <c r="C44" s="7"/>
    </row>
    <row r="45" spans="1:3" ht="24" x14ac:dyDescent="0.45">
      <c r="A45" s="3" t="s">
        <v>40</v>
      </c>
      <c r="B45" s="12">
        <f>1-_xlfn.POISSON.DIST(5,B44,TRUE)</f>
        <v>4.6406082663856485E-2</v>
      </c>
      <c r="C45" s="12"/>
    </row>
    <row r="48" spans="1:3" ht="21.75" thickBot="1" x14ac:dyDescent="0.4">
      <c r="A48" s="2" t="s">
        <v>2</v>
      </c>
      <c r="B48" s="2"/>
      <c r="C48" s="1"/>
    </row>
    <row r="49" spans="1:3" ht="21.75" thickTop="1" x14ac:dyDescent="0.35">
      <c r="A49" s="1"/>
      <c r="B49" s="1"/>
      <c r="C49" s="1"/>
    </row>
    <row r="50" spans="1:3" ht="21" x14ac:dyDescent="0.35">
      <c r="A50" s="3" t="s">
        <v>41</v>
      </c>
      <c r="B50" s="10">
        <f>120*B30*95</f>
        <v>235.06821808407187</v>
      </c>
      <c r="C50" s="10"/>
    </row>
    <row r="51" spans="1:3" ht="21" x14ac:dyDescent="0.35">
      <c r="A51" s="3" t="s">
        <v>42</v>
      </c>
      <c r="B51" s="10">
        <f>120*B32*95</f>
        <v>243.5431531630195</v>
      </c>
      <c r="C51" s="10"/>
    </row>
  </sheetData>
  <mergeCells count="14">
    <mergeCell ref="B50:C50"/>
    <mergeCell ref="B51:C51"/>
    <mergeCell ref="B38:C38"/>
    <mergeCell ref="B39:C39"/>
    <mergeCell ref="B41:C41"/>
    <mergeCell ref="B42:C42"/>
    <mergeCell ref="B43:C43"/>
    <mergeCell ref="B45:C45"/>
    <mergeCell ref="B32:C32"/>
    <mergeCell ref="B25:C25"/>
    <mergeCell ref="B26:C26"/>
    <mergeCell ref="B28:C28"/>
    <mergeCell ref="B29:C29"/>
    <mergeCell ref="B30:C3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D4BB405BDC3EF4F929A5CF29171F1C3" ma:contentTypeVersion="3" ma:contentTypeDescription="Crear nuevo documento." ma:contentTypeScope="" ma:versionID="fc3f33a25b25d43db3592436fecbb4ef">
  <xsd:schema xmlns:xsd="http://www.w3.org/2001/XMLSchema" xmlns:xs="http://www.w3.org/2001/XMLSchema" xmlns:p="http://schemas.microsoft.com/office/2006/metadata/properties" xmlns:ns2="52b29843-5e74-4c04-b167-9de14232097b" targetNamespace="http://schemas.microsoft.com/office/2006/metadata/properties" ma:root="true" ma:fieldsID="7ce7b5deb29b8568d70b29a92dae182b" ns2:_="">
    <xsd:import namespace="52b29843-5e74-4c04-b167-9de14232097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b29843-5e74-4c04-b167-9de1423209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D44ABDD-5463-4F46-9647-59ECE210871F}"/>
</file>

<file path=customXml/itemProps2.xml><?xml version="1.0" encoding="utf-8"?>
<ds:datastoreItem xmlns:ds="http://schemas.openxmlformats.org/officeDocument/2006/customXml" ds:itemID="{734F0DA9-184A-48F4-88CF-75F91D232793}"/>
</file>

<file path=customXml/itemProps3.xml><?xml version="1.0" encoding="utf-8"?>
<ds:datastoreItem xmlns:ds="http://schemas.openxmlformats.org/officeDocument/2006/customXml" ds:itemID="{14F38655-8BE2-499E-BD9A-AB6DAACF685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5.3</vt:lpstr>
      <vt:lpstr>5.32</vt:lpstr>
      <vt:lpstr>5.22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Rosa</dc:creator>
  <cp:lastModifiedBy>Rosa Ríos Prado</cp:lastModifiedBy>
  <dcterms:created xsi:type="dcterms:W3CDTF">2015-06-05T18:19:34Z</dcterms:created>
  <dcterms:modified xsi:type="dcterms:W3CDTF">2026-03-08T16:17:00Z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0x0101009D4BB405BDC3EF4F929A5CF29171F1C3</vt:lpwstr>
  </property>
</Properties>
</file>