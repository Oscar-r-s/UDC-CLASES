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udcgal-my.sharepoint.com/personal/rosa_rios_udc_es/Documents/Clases/Estadistica/Resueltas/"/>
    </mc:Choice>
  </mc:AlternateContent>
  <xr:revisionPtr revIDLastSave="104" documentId="8_{38921137-5DD0-4AB2-A713-75D170983414}" xr6:coauthVersionLast="47" xr6:coauthVersionMax="47" xr10:uidLastSave="{DB861AC1-77B4-49C6-8652-BA7ED987398E}"/>
  <bookViews>
    <workbookView xWindow="-75" yWindow="0" windowWidth="9750" windowHeight="11355" activeTab="1" xr2:uid="{68C9F3CB-5CA4-4FA8-A7D4-AEF9DAD6A86E}"/>
  </bookViews>
  <sheets>
    <sheet name="E1" sheetId="1" r:id="rId1"/>
    <sheet name="E2" sheetId="2" r:id="rId2"/>
    <sheet name="E3" sheetId="3" r:id="rId3"/>
    <sheet name="E4"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2" l="1"/>
  <c r="B78" i="2"/>
  <c r="B66" i="2"/>
  <c r="B65" i="2"/>
  <c r="B27" i="5" l="1"/>
  <c r="B26" i="5"/>
  <c r="B21" i="5"/>
  <c r="B20" i="5"/>
  <c r="F56" i="5"/>
  <c r="E56" i="5"/>
  <c r="D56" i="5"/>
  <c r="C56" i="5"/>
  <c r="B56" i="5"/>
  <c r="F55" i="5"/>
  <c r="E55" i="5"/>
  <c r="D55" i="5"/>
  <c r="C55" i="5"/>
  <c r="B55" i="5"/>
  <c r="F54" i="5"/>
  <c r="E54" i="5"/>
  <c r="D54" i="5"/>
  <c r="C54" i="5"/>
  <c r="B54" i="5"/>
  <c r="F53" i="5"/>
  <c r="E53" i="5"/>
  <c r="D53" i="5"/>
  <c r="C53" i="5"/>
  <c r="B53" i="5"/>
  <c r="F52" i="5"/>
  <c r="E52" i="5"/>
  <c r="D52" i="5"/>
  <c r="C52" i="5"/>
  <c r="B52" i="5"/>
  <c r="F51" i="5"/>
  <c r="E51" i="5"/>
  <c r="D51" i="5"/>
  <c r="C51" i="5"/>
  <c r="B51" i="5"/>
  <c r="F50" i="5"/>
  <c r="E50" i="5"/>
  <c r="D50" i="5"/>
  <c r="C50" i="5"/>
  <c r="B50" i="5"/>
  <c r="F49" i="5"/>
  <c r="E49" i="5"/>
  <c r="D49" i="5"/>
  <c r="C49" i="5"/>
  <c r="B49" i="5"/>
  <c r="F48" i="5"/>
  <c r="E48" i="5"/>
  <c r="D48" i="5"/>
  <c r="C48" i="5"/>
  <c r="B48" i="5"/>
  <c r="F47" i="5"/>
  <c r="E47" i="5"/>
  <c r="D47" i="5"/>
  <c r="C47" i="5"/>
  <c r="B47" i="5"/>
  <c r="F46" i="5"/>
  <c r="E46" i="5"/>
  <c r="D46" i="5"/>
  <c r="C46" i="5"/>
  <c r="B46" i="5"/>
  <c r="F45" i="5"/>
  <c r="E45" i="5"/>
  <c r="D45" i="5"/>
  <c r="C45" i="5"/>
  <c r="B45" i="5"/>
  <c r="F44" i="5"/>
  <c r="E44" i="5"/>
  <c r="D44" i="5"/>
  <c r="C44" i="5"/>
  <c r="B44" i="5"/>
  <c r="F43" i="5"/>
  <c r="E43" i="5"/>
  <c r="D43" i="5"/>
  <c r="C43" i="5"/>
  <c r="B43" i="5"/>
  <c r="F42" i="5"/>
  <c r="E42" i="5"/>
  <c r="D42" i="5"/>
  <c r="C42" i="5"/>
  <c r="B42" i="5"/>
  <c r="F41" i="5"/>
  <c r="E41" i="5"/>
  <c r="D41" i="5"/>
  <c r="C41" i="5"/>
  <c r="B41" i="5"/>
  <c r="F40" i="5"/>
  <c r="E40" i="5"/>
  <c r="D40" i="5"/>
  <c r="C40" i="5"/>
  <c r="B40" i="5"/>
  <c r="F39" i="5"/>
  <c r="E39" i="5"/>
  <c r="D39" i="5"/>
  <c r="C39" i="5"/>
  <c r="B39" i="5"/>
  <c r="F38" i="5"/>
  <c r="E38" i="5"/>
  <c r="D38" i="5"/>
  <c r="C38" i="5"/>
  <c r="B38" i="5"/>
  <c r="F37" i="5"/>
  <c r="E37" i="5"/>
  <c r="D37" i="5"/>
  <c r="C37" i="5"/>
  <c r="B37" i="5"/>
  <c r="F36" i="5"/>
  <c r="E36" i="5"/>
  <c r="D36" i="5"/>
  <c r="C36" i="5"/>
  <c r="B36" i="5"/>
  <c r="F35" i="5"/>
  <c r="E35" i="5"/>
  <c r="D35" i="5"/>
  <c r="C35" i="5"/>
  <c r="B35" i="5"/>
  <c r="F34" i="5"/>
  <c r="E34" i="5"/>
  <c r="D34" i="5"/>
  <c r="C34" i="5"/>
  <c r="B34" i="5"/>
  <c r="F33" i="5"/>
  <c r="E33" i="5"/>
  <c r="D33" i="5"/>
  <c r="C33" i="5"/>
  <c r="B33" i="5"/>
  <c r="F32" i="5"/>
  <c r="E32" i="5"/>
  <c r="D32" i="5"/>
  <c r="C32" i="5"/>
  <c r="B32" i="5"/>
  <c r="E27" i="5"/>
  <c r="D27" i="5"/>
  <c r="F26" i="5"/>
  <c r="F27" i="5" s="1"/>
  <c r="E26" i="5"/>
  <c r="D26" i="5"/>
  <c r="C26" i="5"/>
  <c r="C27" i="5" s="1"/>
  <c r="F21" i="5"/>
  <c r="F20" i="5"/>
  <c r="E20" i="5"/>
  <c r="E21" i="5" s="1"/>
  <c r="D20" i="5"/>
  <c r="D21" i="5" s="1"/>
  <c r="C20" i="5"/>
  <c r="C21" i="5" s="1"/>
  <c r="F19" i="5"/>
  <c r="E19" i="5"/>
  <c r="D19" i="5"/>
  <c r="C19" i="5"/>
  <c r="B19" i="5"/>
  <c r="E24" i="3" l="1"/>
  <c r="C31" i="3" s="1"/>
  <c r="C30"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29" i="3" l="1"/>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29" i="3"/>
  <c r="C12" i="3"/>
  <c r="C13" i="3"/>
  <c r="C14" i="3"/>
  <c r="C15" i="3"/>
  <c r="C16" i="3"/>
  <c r="C17" i="3"/>
  <c r="C18" i="3"/>
  <c r="C19" i="3"/>
  <c r="C11" i="3"/>
  <c r="B12" i="3"/>
  <c r="B13" i="3"/>
  <c r="B14" i="3"/>
  <c r="B15" i="3"/>
  <c r="B16" i="3"/>
  <c r="B17" i="3"/>
  <c r="B18" i="3"/>
  <c r="B19" i="3"/>
  <c r="B11" i="3"/>
  <c r="E6" i="3"/>
  <c r="B77" i="2"/>
  <c r="B76" i="2"/>
  <c r="B75" i="2"/>
  <c r="B74" i="2"/>
  <c r="B64" i="2"/>
  <c r="B63" i="2"/>
  <c r="B62" i="2"/>
  <c r="B61" i="2"/>
  <c r="B60" i="2"/>
  <c r="B59" i="2"/>
  <c r="B58" i="2"/>
  <c r="B57" i="2"/>
  <c r="B56" i="2"/>
  <c r="B46" i="2"/>
  <c r="B45" i="2"/>
  <c r="B44" i="2"/>
  <c r="B43" i="2"/>
  <c r="B42" i="2"/>
  <c r="B41" i="2"/>
  <c r="B34" i="2"/>
  <c r="B33" i="2"/>
  <c r="B31" i="2"/>
  <c r="B30" i="2"/>
  <c r="B29" i="2"/>
  <c r="B28" i="2"/>
  <c r="B27" i="2"/>
  <c r="B26" i="2"/>
  <c r="B25" i="2"/>
  <c r="B24" i="2" l="1"/>
  <c r="B6" i="1"/>
  <c r="C6" i="1" s="1"/>
  <c r="B7" i="1"/>
  <c r="C7" i="1" s="1"/>
  <c r="B8" i="1"/>
  <c r="C8" i="1" s="1"/>
  <c r="B9" i="1"/>
  <c r="C9" i="1" s="1"/>
  <c r="B10" i="1"/>
  <c r="C10" i="1" s="1"/>
  <c r="B11" i="1"/>
  <c r="C11" i="1" s="1"/>
  <c r="B12" i="1"/>
  <c r="C12" i="1" s="1"/>
  <c r="B13" i="1"/>
  <c r="C13" i="1" s="1"/>
  <c r="B14" i="1"/>
  <c r="C14" i="1" s="1"/>
  <c r="B15" i="1"/>
  <c r="C15" i="1" s="1"/>
  <c r="B16" i="1"/>
  <c r="C16" i="1" s="1"/>
  <c r="B17" i="1"/>
  <c r="C17" i="1" s="1"/>
  <c r="B18" i="1"/>
  <c r="C18" i="1" s="1"/>
  <c r="B19" i="1"/>
  <c r="C19" i="1" s="1"/>
  <c r="B20" i="1"/>
  <c r="C20" i="1" s="1"/>
  <c r="B21" i="1"/>
  <c r="C21" i="1" s="1"/>
  <c r="B22" i="1"/>
  <c r="C22" i="1" s="1"/>
  <c r="B23" i="1"/>
  <c r="C23" i="1" s="1"/>
  <c r="B24" i="1"/>
  <c r="C24" i="1" s="1"/>
  <c r="B25" i="1"/>
  <c r="C25" i="1" s="1"/>
  <c r="B26" i="1"/>
  <c r="C26" i="1" s="1"/>
  <c r="B27" i="1"/>
  <c r="C27" i="1" s="1"/>
  <c r="B28" i="1"/>
  <c r="C28" i="1" s="1"/>
  <c r="B29" i="1"/>
  <c r="C29" i="1" s="1"/>
  <c r="B30" i="1"/>
  <c r="C30" i="1" s="1"/>
  <c r="B31" i="1"/>
  <c r="C31" i="1" s="1"/>
  <c r="B32" i="1"/>
  <c r="C32" i="1" s="1"/>
  <c r="B33" i="1"/>
  <c r="C33" i="1" s="1"/>
  <c r="B34" i="1"/>
  <c r="C34" i="1" s="1"/>
  <c r="B35" i="1"/>
  <c r="C35" i="1" s="1"/>
  <c r="B36" i="1"/>
  <c r="C36" i="1" s="1"/>
  <c r="B37" i="1"/>
  <c r="C37" i="1" s="1"/>
  <c r="B38" i="1"/>
  <c r="C38" i="1" s="1"/>
  <c r="B39" i="1"/>
  <c r="C39" i="1" s="1"/>
  <c r="B40" i="1"/>
  <c r="C40" i="1" s="1"/>
  <c r="B41" i="1"/>
  <c r="C41" i="1" s="1"/>
  <c r="B42" i="1"/>
  <c r="C42" i="1" s="1"/>
  <c r="B43" i="1"/>
  <c r="C43" i="1" s="1"/>
  <c r="B44" i="1"/>
  <c r="C44" i="1" s="1"/>
  <c r="B45" i="1"/>
  <c r="C45" i="1" s="1"/>
  <c r="B46" i="1"/>
  <c r="C46" i="1" s="1"/>
  <c r="B47" i="1"/>
  <c r="C47" i="1" s="1"/>
  <c r="B48" i="1"/>
  <c r="C48" i="1" s="1"/>
  <c r="B49" i="1"/>
  <c r="C49" i="1" s="1"/>
  <c r="B50" i="1"/>
  <c r="C50" i="1" s="1"/>
  <c r="B51" i="1"/>
  <c r="C51" i="1" s="1"/>
  <c r="B52" i="1"/>
  <c r="C52" i="1" s="1"/>
  <c r="B53" i="1"/>
  <c r="C53" i="1" s="1"/>
  <c r="B54" i="1"/>
  <c r="C54" i="1" s="1"/>
  <c r="B5" i="1"/>
  <c r="C5" i="1" s="1"/>
  <c r="G5" i="1" l="1"/>
  <c r="H5" i="1"/>
  <c r="E6" i="1"/>
  <c r="G6" i="1" s="1"/>
  <c r="F6" i="1"/>
  <c r="F7" i="1" s="1"/>
  <c r="F8" i="1" s="1"/>
  <c r="F9" i="1" s="1"/>
  <c r="F10" i="1" s="1"/>
  <c r="F11" i="1" s="1"/>
  <c r="F12" i="1" s="1"/>
  <c r="F13" i="1" s="1"/>
  <c r="F14" i="1" s="1"/>
  <c r="F15" i="1" s="1"/>
  <c r="F16" i="1" s="1"/>
  <c r="F17" i="1" s="1"/>
  <c r="F18" i="1" s="1"/>
  <c r="F19" i="1" s="1"/>
  <c r="F20" i="1" s="1"/>
  <c r="F21" i="1" s="1"/>
  <c r="F22" i="1" s="1"/>
  <c r="F23" i="1" s="1"/>
  <c r="F24" i="1" s="1"/>
  <c r="H6" i="1" l="1"/>
  <c r="E7" i="1"/>
  <c r="G7" i="1" l="1"/>
  <c r="H7" i="1"/>
  <c r="E8" i="1"/>
  <c r="G8" i="1" l="1"/>
  <c r="H8" i="1"/>
  <c r="E9" i="1"/>
  <c r="G9" i="1" l="1"/>
  <c r="H9" i="1"/>
  <c r="E10" i="1"/>
  <c r="G10" i="1" l="1"/>
  <c r="E11" i="1"/>
  <c r="H10" i="1"/>
  <c r="G11" i="1" l="1"/>
  <c r="H11" i="1"/>
  <c r="E12" i="1"/>
  <c r="G12" i="1" l="1"/>
  <c r="E13" i="1"/>
  <c r="H12" i="1"/>
  <c r="G13" i="1" l="1"/>
  <c r="H13" i="1"/>
  <c r="E14" i="1"/>
  <c r="G14" i="1" l="1"/>
  <c r="E15" i="1"/>
  <c r="H14" i="1"/>
  <c r="G15" i="1" l="1"/>
  <c r="H15" i="1"/>
  <c r="E16" i="1"/>
  <c r="G16" i="1" l="1"/>
  <c r="H16" i="1"/>
  <c r="E17" i="1"/>
  <c r="G17" i="1" l="1"/>
  <c r="H17" i="1"/>
  <c r="E18" i="1"/>
  <c r="G18" i="1" l="1"/>
  <c r="E19" i="1"/>
  <c r="H18" i="1"/>
  <c r="G19" i="1" l="1"/>
  <c r="H19" i="1"/>
  <c r="E20" i="1"/>
  <c r="G20" i="1" l="1"/>
  <c r="E21" i="1"/>
  <c r="H20" i="1"/>
  <c r="G21" i="1" l="1"/>
  <c r="H21" i="1"/>
  <c r="E22" i="1"/>
  <c r="G22" i="1" l="1"/>
  <c r="H22" i="1"/>
  <c r="E23" i="1"/>
  <c r="G23" i="1" l="1"/>
  <c r="H23" i="1"/>
  <c r="E24" i="1"/>
  <c r="G24" i="1" l="1"/>
  <c r="H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Diego Crespo Pereira</author>
  </authors>
  <commentList>
    <comment ref="D10" authorId="0" shapeId="0" xr:uid="{00000000-0006-0000-0000-000001000000}">
      <text>
        <r>
          <rPr>
            <b/>
            <sz val="9"/>
            <color indexed="81"/>
            <rFont val="Tahoma"/>
            <family val="2"/>
          </rPr>
          <t>Diego Crespo Pereira:</t>
        </r>
        <r>
          <rPr>
            <sz val="9"/>
            <color indexed="81"/>
            <rFont val="Tahoma"/>
            <family val="2"/>
          </rPr>
          <t xml:space="preserve">
Probabilidad acumulada hasta un valor</t>
        </r>
      </text>
    </comment>
    <comment ref="F10" authorId="0" shapeId="0" xr:uid="{00000000-0006-0000-0000-000002000000}">
      <text>
        <r>
          <rPr>
            <b/>
            <sz val="9"/>
            <color indexed="81"/>
            <rFont val="Tahoma"/>
            <family val="2"/>
          </rPr>
          <t>Diego Crespo Pereira:</t>
        </r>
        <r>
          <rPr>
            <sz val="9"/>
            <color indexed="81"/>
            <rFont val="Tahoma"/>
            <family val="2"/>
          </rPr>
          <t xml:space="preserve">
Función de distribución</t>
        </r>
      </text>
    </comment>
    <comment ref="D11" authorId="0" shapeId="0" xr:uid="{00000000-0006-0000-0000-000003000000}">
      <text>
        <r>
          <rPr>
            <b/>
            <sz val="9"/>
            <color indexed="81"/>
            <rFont val="Tahoma"/>
            <family val="2"/>
          </rPr>
          <t>Diego Crespo Pereira:</t>
        </r>
        <r>
          <rPr>
            <sz val="9"/>
            <color indexed="81"/>
            <rFont val="Tahoma"/>
            <family val="2"/>
          </rPr>
          <t xml:space="preserve">
Probabilidad del valor introducido</t>
        </r>
      </text>
    </comment>
    <comment ref="F11" authorId="0" shapeId="0" xr:uid="{00000000-0006-0000-0000-000004000000}">
      <text>
        <r>
          <rPr>
            <b/>
            <sz val="9"/>
            <color indexed="81"/>
            <rFont val="Tahoma"/>
            <family val="2"/>
          </rPr>
          <t>Diego Crespo Pereira:</t>
        </r>
        <r>
          <rPr>
            <sz val="9"/>
            <color indexed="81"/>
            <rFont val="Tahoma"/>
            <family val="2"/>
          </rPr>
          <t xml:space="preserve">
Función de densidad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Diego CP</author>
  </authors>
  <commentList>
    <comment ref="A20" authorId="0" shapeId="0" xr:uid="{0D2DC30B-1E71-410E-B5D8-A0DD3AD32262}">
      <text>
        <r>
          <rPr>
            <b/>
            <sz val="9"/>
            <color indexed="81"/>
            <rFont val="Tahoma"/>
            <family val="2"/>
          </rPr>
          <t>Diego CP:</t>
        </r>
        <r>
          <rPr>
            <sz val="9"/>
            <color indexed="81"/>
            <rFont val="Tahoma"/>
            <family val="2"/>
          </rPr>
          <t xml:space="preserve">
Cantidad máxima de piezas defectuosas admitido por el cliente en función del tamaño de lote y del % de defectuosas admisible</t>
        </r>
      </text>
    </comment>
    <comment ref="A21" authorId="0" shapeId="0" xr:uid="{701C44DE-3284-46AE-BFE4-D04E445F7C8E}">
      <text>
        <r>
          <rPr>
            <b/>
            <sz val="9"/>
            <color indexed="81"/>
            <rFont val="Tahoma"/>
            <family val="2"/>
          </rPr>
          <t>Diego CP:</t>
        </r>
        <r>
          <rPr>
            <sz val="9"/>
            <color indexed="81"/>
            <rFont val="Tahoma"/>
            <family val="2"/>
          </rPr>
          <t xml:space="preserve">
El lote es rechazado si el nº de piezas defectuosas supera el límite.
Sea X: nº piezas defectuosas en un lote.
P(lote rechazado) = P(X &gt; Limite defectuosas en el lote)
X ~ Distribución binomial con n=tamaño lote &amp; p= tasa de fallos.</t>
        </r>
      </text>
    </comment>
    <comment ref="A26" authorId="0" shapeId="0" xr:uid="{30208E80-BCD4-494B-99F2-F59CCF3DF41B}">
      <text>
        <r>
          <rPr>
            <b/>
            <sz val="9"/>
            <color indexed="81"/>
            <rFont val="Tahoma"/>
            <family val="2"/>
          </rPr>
          <t>Diego CP:</t>
        </r>
        <r>
          <rPr>
            <sz val="9"/>
            <color indexed="81"/>
            <rFont val="Tahoma"/>
            <family val="2"/>
          </rPr>
          <t xml:space="preserve">
Total de piezas acumuladas = Tamaño del lote * (1 + % margen de seguridad)</t>
        </r>
      </text>
    </comment>
    <comment ref="A27" authorId="0" shapeId="0" xr:uid="{E8072E00-C8BB-404C-B21E-A64EE5FB7629}">
      <text>
        <r>
          <rPr>
            <b/>
            <sz val="9"/>
            <color indexed="81"/>
            <rFont val="Tahoma"/>
            <family val="2"/>
          </rPr>
          <t>Diego CP:</t>
        </r>
        <r>
          <rPr>
            <sz val="9"/>
            <color indexed="81"/>
            <rFont val="Tahoma"/>
            <family val="2"/>
          </rPr>
          <t xml:space="preserve">
Sea X el nº de piezas consumidas durante el intervalo de tiempo entre dos envíos.
P(desabastecimiento) = P(X &gt; total de piezas acumuladas)
X ~ Distribución de Poisson con parámetro media = Tamaño del lote. (Ya que por término medio durante el intervalo entre envíos se consume el tamaño del lote).
</t>
        </r>
      </text>
    </comment>
  </commentList>
</comments>
</file>

<file path=xl/sharedStrings.xml><?xml version="1.0" encoding="utf-8"?>
<sst xmlns="http://schemas.openxmlformats.org/spreadsheetml/2006/main" count="147" uniqueCount="108">
  <si>
    <t>3- Para que los valores no se regeneren de cada vez, copiar la columna U(0,1) y pegar sobre ella misma con PEGADO ESPECIAL-&gt;Pegar Valores</t>
  </si>
  <si>
    <t>2- En la columna N(10,3) usar la distribución normal inversa para transformar los números aleatorios con distribución uniforme en una normal de media 10 y desviación 3</t>
  </si>
  <si>
    <t>1- En la columna U(0,1) generar números aleatorios entre 0 y 1 con la función ALEATORIO()</t>
  </si>
  <si>
    <t>PASOS</t>
  </si>
  <si>
    <t>Freq.</t>
  </si>
  <si>
    <t>Intervalo</t>
  </si>
  <si>
    <t>Lím Sup</t>
  </si>
  <si>
    <t>Lím Inf</t>
  </si>
  <si>
    <t>N(10,3)</t>
  </si>
  <si>
    <t>U(0,1)</t>
  </si>
  <si>
    <t>n</t>
  </si>
  <si>
    <t>Generar 50 números aleatorios con distribución N(10,3)</t>
  </si>
  <si>
    <t>Generación de Números Aleatorios</t>
  </si>
  <si>
    <t>P(x1&lt;=X&lt;=x3)</t>
  </si>
  <si>
    <t>P(X&lt;=x1)</t>
  </si>
  <si>
    <t>F(x2)</t>
  </si>
  <si>
    <t>F(x1)</t>
  </si>
  <si>
    <t>f(x1)</t>
  </si>
  <si>
    <t>Lambda</t>
  </si>
  <si>
    <t>x2</t>
  </si>
  <si>
    <t>x1</t>
  </si>
  <si>
    <t>Los argumentos son:</t>
  </si>
  <si>
    <t>Usar la función DISTR.EXP.N</t>
  </si>
  <si>
    <t>Distribución Exponencial</t>
  </si>
  <si>
    <t>P(X&lt;=x2 | x1&lt;=X&lt;=x3)</t>
  </si>
  <si>
    <t>P(X&gt;x2 | X&gt;x1)</t>
  </si>
  <si>
    <t>P(X&gt;x2 | X&lt;=k3)</t>
  </si>
  <si>
    <t>P(X&gt;=x2)</t>
  </si>
  <si>
    <t>P(X&lt;x1)</t>
  </si>
  <si>
    <t>F(x3)</t>
  </si>
  <si>
    <t>Sigma</t>
  </si>
  <si>
    <t>Media</t>
  </si>
  <si>
    <t>x3</t>
  </si>
  <si>
    <t>Desviación</t>
  </si>
  <si>
    <t>Usar la función DISTR.NORM.N</t>
  </si>
  <si>
    <t>Distribución Normal</t>
  </si>
  <si>
    <t>P(X&lt;=k2 | X&gt;=k1)</t>
  </si>
  <si>
    <t>P(k1&lt;=X&lt;=k2)</t>
  </si>
  <si>
    <t>P(X&gt;=k1)</t>
  </si>
  <si>
    <t>P(X&lt;=k2)</t>
  </si>
  <si>
    <t>P(X&lt;=k1)</t>
  </si>
  <si>
    <t>P(X=k1)</t>
  </si>
  <si>
    <t>media</t>
  </si>
  <si>
    <t>k2</t>
  </si>
  <si>
    <t>Media -&gt; Parámetro Lambda de la distribución de Poisson</t>
  </si>
  <si>
    <t>k1</t>
  </si>
  <si>
    <t>Usar la función POISSON.DIST</t>
  </si>
  <si>
    <t>Distribución de Poisson</t>
  </si>
  <si>
    <t>P(X&gt;=k3 | X&gt;k1)</t>
  </si>
  <si>
    <t>P(X&gt;k2 | k1&lt;=X&lt;=k3)</t>
  </si>
  <si>
    <t>P(X&lt;k2 | X&lt;=k3)</t>
  </si>
  <si>
    <t>P(k1&lt;=X&lt;=k3)</t>
  </si>
  <si>
    <t>P(X&gt;k1)</t>
  </si>
  <si>
    <t>P(X&lt;k1)</t>
  </si>
  <si>
    <t>P(X&lt;=k3)</t>
  </si>
  <si>
    <t>Prob_exito -&gt; El parámetro p</t>
  </si>
  <si>
    <t>Ensayos -&gt; El parámetro n</t>
  </si>
  <si>
    <t>Núm. Éxitos -&gt; El valor de X para el cual quiere calcular la probabilidad</t>
  </si>
  <si>
    <t>Calcular:</t>
  </si>
  <si>
    <t>Usar la función DISTR:BINOM.N</t>
  </si>
  <si>
    <t>Sea la variable aleatoria X~B(n, p)</t>
  </si>
  <si>
    <t>p</t>
  </si>
  <si>
    <t>k3</t>
  </si>
  <si>
    <t>Distribución Binomial</t>
  </si>
  <si>
    <t>f(x)</t>
  </si>
  <si>
    <t>P(X=k)</t>
  </si>
  <si>
    <t>F(x)</t>
  </si>
  <si>
    <t>P(X&lt;=k)</t>
  </si>
  <si>
    <t>Distribución Discreta</t>
  </si>
  <si>
    <t>Distribución Continua</t>
  </si>
  <si>
    <t>Valor de ACUMULADO</t>
  </si>
  <si>
    <t>Según la distribución sea continua o discreta el argumento ACUMULADO tiene la siguiente función:</t>
  </si>
  <si>
    <t>El argumento ACUMULADO que puede ser VERDADERO o FALSO</t>
  </si>
  <si>
    <t>Los parámetros de la distribución.</t>
  </si>
  <si>
    <t>El valor para el cual se quiere calcular la probabilidad.</t>
  </si>
  <si>
    <t>Los argumentos de estas funciones son:</t>
  </si>
  <si>
    <t>La mayor parte de distribuciones en Excel se calculan mediante funciones que empiezan por "DISTR.".</t>
  </si>
  <si>
    <t>Cálculo con Distribuciones</t>
  </si>
  <si>
    <t>Gráficas de Distribuciones</t>
  </si>
  <si>
    <t>Distribuciones Discretas</t>
  </si>
  <si>
    <t>Binomial</t>
  </si>
  <si>
    <t>Poisson</t>
  </si>
  <si>
    <t>k</t>
  </si>
  <si>
    <t>B(n, p)</t>
  </si>
  <si>
    <t>Distribuciones Continuas</t>
  </si>
  <si>
    <t>Normal</t>
  </si>
  <si>
    <t>Exponencial</t>
  </si>
  <si>
    <t>x</t>
  </si>
  <si>
    <t>i) Probabilidad de que un lote sea rechazado</t>
  </si>
  <si>
    <t>A</t>
  </si>
  <si>
    <t>B</t>
  </si>
  <si>
    <t>C</t>
  </si>
  <si>
    <t>D</t>
  </si>
  <si>
    <t>E</t>
  </si>
  <si>
    <t>n·p</t>
  </si>
  <si>
    <t>P(lote rechazado)</t>
  </si>
  <si>
    <t>ii) Probabilidad de rotura de stock</t>
  </si>
  <si>
    <t>Margen de seguridad</t>
  </si>
  <si>
    <t>Total de piezas acumuladas</t>
  </si>
  <si>
    <t>Probabilidad de desabastecimiento</t>
  </si>
  <si>
    <t>iii) Probabilidad de desabastecimiento</t>
  </si>
  <si>
    <t>Exceso de seguridad</t>
  </si>
  <si>
    <t>Probabilidad desabast.</t>
  </si>
  <si>
    <t>Tasa fallos (p)</t>
  </si>
  <si>
    <t>Tamaño de lote (n)</t>
  </si>
  <si>
    <t>Límite defectuosas (%)</t>
  </si>
  <si>
    <t>Límite defectuosas en el lote</t>
  </si>
  <si>
    <t>P(x1&lt;=X&lt;=x2)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</si>
</sst>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x14ac:knownFonts="1">
    <font>
      <sz val="11"/>
      <color theme="1"/>
      <name val="Calibri"/>
      <family val="2"/>
      <scheme val="minor"/>
    </font>
    <font>
      <sz val="11"/>
      <color theme="1"/>
      <name val="Calibri"/>
      <family val="2"/>
      <scheme val="minor"/>
    </font>
    <font>
      <sz val="18"/>
      <color theme="3"/>
      <name val="Cambria"/>
      <family val="2"/>
      <scheme val="major"/>
    </font>
    <font>
      <b/>
      <sz val="13"/>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s>
  <borders count="5">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1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4" fillId="0" borderId="0" applyNumberFormat="0" applyFill="0" applyBorder="0" applyAlignment="0" applyProtection="0"/>
    <xf numFmtId="0" fontId="5" fillId="2" borderId="3" applyNumberFormat="0" applyAlignment="0" applyProtection="0"/>
    <xf numFmtId="0" fontId="6" fillId="3" borderId="4" applyNumberFormat="0" applyAlignment="0" applyProtection="0"/>
    <xf numFmtId="0" fontId="7" fillId="0" borderId="0" applyNumberFormat="0" applyFill="0" applyBorder="0" applyAlignment="0" applyProtection="0"/>
    <xf numFmtId="0" fontId="9"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9"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9" fillId="7" borderId="0" applyNumberFormat="0" applyBorder="0" applyAlignment="0" applyProtection="0"/>
  </cellStyleXfs>
  <cellXfs count="29">
    <xf numFmtId="0" fontId="0" fillId="0" borderId="0" xfId="0"/>
    <xf numFmtId="0" fontId="6" fillId="3" borderId="4" xfId="6"/>
    <xf numFmtId="0" fontId="8" fillId="0" borderId="0" xfId="0" applyFont="1"/>
    <xf numFmtId="0" fontId="9" fillId="4" borderId="0" xfId="8" applyAlignment="1">
      <alignment horizontal="center"/>
    </xf>
    <xf numFmtId="0" fontId="4" fillId="0" borderId="0" xfId="4"/>
    <xf numFmtId="0" fontId="2" fillId="0" borderId="0" xfId="1"/>
    <xf numFmtId="0" fontId="9" fillId="4" borderId="0" xfId="8"/>
    <xf numFmtId="0" fontId="5" fillId="2" borderId="3" xfId="5"/>
    <xf numFmtId="0" fontId="7" fillId="0" borderId="0" xfId="7"/>
    <xf numFmtId="0" fontId="9" fillId="7" borderId="0" xfId="14"/>
    <xf numFmtId="10" fontId="5" fillId="2" borderId="3" xfId="5" applyNumberFormat="1"/>
    <xf numFmtId="0" fontId="3" fillId="0" borderId="1" xfId="2"/>
    <xf numFmtId="0" fontId="0" fillId="0" borderId="0" xfId="0" applyAlignment="1">
      <alignment wrapText="1"/>
    </xf>
    <xf numFmtId="9" fontId="5" fillId="2" borderId="3" xfId="5" applyNumberFormat="1"/>
    <xf numFmtId="0" fontId="1" fillId="10" borderId="0" xfId="13" applyAlignment="1">
      <alignment wrapText="1"/>
    </xf>
    <xf numFmtId="164" fontId="6" fillId="3" borderId="4" xfId="6" applyNumberFormat="1"/>
    <xf numFmtId="0" fontId="0" fillId="6" borderId="0" xfId="10" applyFont="1" applyAlignment="1">
      <alignment wrapText="1"/>
    </xf>
    <xf numFmtId="0" fontId="1" fillId="6" borderId="0" xfId="10" applyAlignment="1">
      <alignment horizontal="center"/>
    </xf>
    <xf numFmtId="9" fontId="1" fillId="5" borderId="0" xfId="9" applyNumberFormat="1"/>
    <xf numFmtId="0" fontId="0" fillId="10" borderId="0" xfId="13" applyFont="1" applyAlignment="1">
      <alignment wrapText="1"/>
    </xf>
    <xf numFmtId="0" fontId="0" fillId="6" borderId="0" xfId="10" applyFont="1" applyAlignment="1">
      <alignment horizontal="center" vertical="center"/>
    </xf>
    <xf numFmtId="0" fontId="1" fillId="6" borderId="0" xfId="10" applyAlignment="1">
      <alignment horizontal="center" vertical="center"/>
    </xf>
    <xf numFmtId="0" fontId="9" fillId="4" borderId="0" xfId="8" applyAlignment="1">
      <alignment horizontal="center"/>
    </xf>
    <xf numFmtId="0" fontId="2" fillId="0" borderId="0" xfId="1" applyAlignment="1">
      <alignment horizontal="center"/>
    </xf>
    <xf numFmtId="0" fontId="4" fillId="0" borderId="2" xfId="3" applyAlignment="1">
      <alignment horizontal="center"/>
    </xf>
    <xf numFmtId="0" fontId="1" fillId="9" borderId="0" xfId="12" applyAlignment="1">
      <alignment horizontal="center"/>
    </xf>
    <xf numFmtId="0" fontId="9" fillId="8" borderId="0" xfId="11" applyAlignment="1">
      <alignment horizontal="center"/>
    </xf>
    <xf numFmtId="0" fontId="9" fillId="4" borderId="0" xfId="8" applyAlignment="1">
      <alignment horizontal="left" vertical="center" wrapText="1"/>
    </xf>
    <xf numFmtId="0" fontId="9" fillId="4" borderId="0" xfId="8" applyAlignment="1">
      <alignment horizontal="center" wrapText="1"/>
    </xf>
  </cellXfs>
  <cellStyles count="15">
    <cellStyle name="20% - Énfasis1" xfId="9" builtinId="30"/>
    <cellStyle name="20% - Énfasis3" xfId="12" builtinId="38"/>
    <cellStyle name="40% - Énfasis1" xfId="10" builtinId="31"/>
    <cellStyle name="40% - Énfasis3" xfId="13" builtinId="39"/>
    <cellStyle name="60% - Énfasis1 2" xfId="14" xr:uid="{75E639F3-0D31-4D12-98CB-DF3B506F1DC8}"/>
    <cellStyle name="Encabezado 4" xfId="4" builtinId="19"/>
    <cellStyle name="Énfasis1" xfId="8" builtinId="29"/>
    <cellStyle name="Énfasis3" xfId="11" builtinId="37"/>
    <cellStyle name="Entrada" xfId="5" builtinId="20"/>
    <cellStyle name="Normal" xfId="0" builtinId="0"/>
    <cellStyle name="Salida" xfId="6" builtinId="21"/>
    <cellStyle name="Texto explicativo" xfId="7" builtinId="53"/>
    <cellStyle name="Título" xfId="1" builtinId="15"/>
    <cellStyle name="Título 2" xfId="2" builtinId="17"/>
    <cellStyle name="Título 3" xfId="3" builtinId="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'E1'!$H$4</c:f>
              <c:strCache>
                <c:ptCount val="1"/>
                <c:pt idx="0">
                  <c:v>Freq.</c:v>
                </c:pt>
              </c:strCache>
            </c:strRef>
          </c:tx>
          <c:spPr>
            <a:solidFill>
              <a:schemeClr val="accent1"/>
            </a:solidFill>
            <a:ln>
              <a:noFill/>
            </a:ln>
            <a:effectLst/>
          </c:spPr>
          <c:invertIfNegative val="0"/>
          <c:cat>
            <c:strRef>
              <c:f>'E1'!$G$5:$G$24</c:f>
              <c:strCache>
                <c:ptCount val="20"/>
                <c:pt idx="0">
                  <c:v>0-1</c:v>
                </c:pt>
                <c:pt idx="1">
                  <c:v>1-2</c:v>
                </c:pt>
                <c:pt idx="2">
                  <c:v>2-3</c:v>
                </c:pt>
                <c:pt idx="3">
                  <c:v>3-4</c:v>
                </c:pt>
                <c:pt idx="4">
                  <c:v>4-5</c:v>
                </c:pt>
                <c:pt idx="5">
                  <c:v>5-6</c:v>
                </c:pt>
                <c:pt idx="6">
                  <c:v>6-7</c:v>
                </c:pt>
                <c:pt idx="7">
                  <c:v>7-8</c:v>
                </c:pt>
                <c:pt idx="8">
                  <c:v>8-9</c:v>
                </c:pt>
                <c:pt idx="9">
                  <c:v>9-10</c:v>
                </c:pt>
                <c:pt idx="10">
                  <c:v>10-11</c:v>
                </c:pt>
                <c:pt idx="11">
                  <c:v>11-12</c:v>
                </c:pt>
                <c:pt idx="12">
                  <c:v>12-13</c:v>
                </c:pt>
                <c:pt idx="13">
                  <c:v>13-14</c:v>
                </c:pt>
                <c:pt idx="14">
                  <c:v>14-15</c:v>
                </c:pt>
                <c:pt idx="15">
                  <c:v>15-16</c:v>
                </c:pt>
                <c:pt idx="16">
                  <c:v>16-17</c:v>
                </c:pt>
                <c:pt idx="17">
                  <c:v>17-18</c:v>
                </c:pt>
                <c:pt idx="18">
                  <c:v>18-19</c:v>
                </c:pt>
                <c:pt idx="19">
                  <c:v>19-20</c:v>
                </c:pt>
              </c:strCache>
            </c:strRef>
          </c:cat>
          <c:val>
            <c:numRef>
              <c:f>'E1'!$H$5:$H$24</c:f>
              <c:numCache>
                <c:formatCode>General</c:formatCode>
                <c:ptCount val="20"/>
                <c:pt idx="0">
                  <c:v>0</c:v>
                </c:pt>
                <c:pt idx="1">
                  <c:v>0</c:v>
                </c:pt>
                <c:pt idx="2">
                  <c:v>0</c:v>
                </c:pt>
                <c:pt idx="3">
                  <c:v>0</c:v>
                </c:pt>
                <c:pt idx="4">
                  <c:v>2</c:v>
                </c:pt>
                <c:pt idx="5">
                  <c:v>2</c:v>
                </c:pt>
                <c:pt idx="6">
                  <c:v>4</c:v>
                </c:pt>
                <c:pt idx="7">
                  <c:v>4</c:v>
                </c:pt>
                <c:pt idx="8">
                  <c:v>7</c:v>
                </c:pt>
                <c:pt idx="9">
                  <c:v>7</c:v>
                </c:pt>
                <c:pt idx="10">
                  <c:v>5</c:v>
                </c:pt>
                <c:pt idx="11">
                  <c:v>7</c:v>
                </c:pt>
                <c:pt idx="12">
                  <c:v>5</c:v>
                </c:pt>
                <c:pt idx="13">
                  <c:v>3</c:v>
                </c:pt>
                <c:pt idx="14">
                  <c:v>0</c:v>
                </c:pt>
                <c:pt idx="15">
                  <c:v>2</c:v>
                </c:pt>
                <c:pt idx="16">
                  <c:v>1</c:v>
                </c:pt>
                <c:pt idx="17">
                  <c:v>1</c:v>
                </c:pt>
                <c:pt idx="18">
                  <c:v>0</c:v>
                </c:pt>
                <c:pt idx="19">
                  <c:v>0</c:v>
                </c:pt>
              </c:numCache>
            </c:numRef>
          </c:val>
          <c:extLst>
            <c:ext xmlns:c16="http://schemas.microsoft.com/office/drawing/2014/chart" uri="{C3380CC4-5D6E-409C-BE32-E72D297353CC}">
              <c16:uniqueId val="{00000000-4007-4F22-8A13-7596C35369E7}"/>
            </c:ext>
          </c:extLst>
        </c:ser>
        <c:dLbls>
          <c:showLegendKey val="0"/>
          <c:showVal val="0"/>
          <c:showCatName val="0"/>
          <c:showSerName val="0"/>
          <c:showPercent val="0"/>
          <c:showBubbleSize val="0"/>
        </c:dLbls>
        <c:gapWidth val="219"/>
        <c:overlap val="-27"/>
        <c:axId val="485851208"/>
        <c:axId val="485859440"/>
      </c:barChart>
      <c:catAx>
        <c:axId val="485851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5859440"/>
        <c:crosses val="autoZero"/>
        <c:auto val="1"/>
        <c:lblAlgn val="ctr"/>
        <c:lblOffset val="100"/>
        <c:noMultiLvlLbl val="0"/>
      </c:catAx>
      <c:valAx>
        <c:axId val="48585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5851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'E3'!$A$3</c:f>
          <c:strCache>
            <c:ptCount val="1"/>
            <c:pt idx="0">
              <c:v>Distribuciones Discretas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'E3'!$B$10</c:f>
              <c:strCache>
                <c:ptCount val="1"/>
                <c:pt idx="0">
                  <c:v>B(n, p)</c:v>
                </c:pt>
              </c:strCache>
            </c:strRef>
          </c:tx>
          <c:spPr>
            <a:solidFill>
              <a:schemeClr val="accent1"/>
            </a:solidFill>
            <a:ln>
              <a:noFill/>
            </a:ln>
            <a:effectLst/>
          </c:spPr>
          <c:invertIfNegative val="0"/>
          <c:val>
            <c:numRef>
              <c:f>'E3'!$B$11:$B$19</c:f>
              <c:numCache>
                <c:formatCode>General</c:formatCode>
                <c:ptCount val="9"/>
                <c:pt idx="0">
                  <c:v>0.19864885008204095</c:v>
                </c:pt>
                <c:pt idx="1">
                  <c:v>0.32432465319516879</c:v>
                </c:pt>
                <c:pt idx="2">
                  <c:v>0.26144538369814629</c:v>
                </c:pt>
                <c:pt idx="3">
                  <c:v>0.13872612196228168</c:v>
                </c:pt>
                <c:pt idx="4">
                  <c:v>5.449954791375352E-2</c:v>
                </c:pt>
                <c:pt idx="5">
                  <c:v>1.6905982209980689E-2</c:v>
                </c:pt>
                <c:pt idx="6">
                  <c:v>4.3127505637705812E-3</c:v>
                </c:pt>
                <c:pt idx="7">
                  <c:v>9.3044764349569395E-4</c:v>
                </c:pt>
                <c:pt idx="8">
                  <c:v>1.732721376918004E-4</c:v>
                </c:pt>
              </c:numCache>
            </c:numRef>
          </c:val>
          <c:extLst>
            <c:ext xmlns:c16="http://schemas.microsoft.com/office/drawing/2014/chart" uri="{C3380CC4-5D6E-409C-BE32-E72D297353CC}">
              <c16:uniqueId val="{00000000-E8EB-4ABE-BBF6-E04541AD7FF4}"/>
            </c:ext>
          </c:extLst>
        </c:ser>
        <c:ser>
          <c:idx val="1"/>
          <c:order val="1"/>
          <c:tx>
            <c:strRef>
              <c:f>'E3'!$C$10</c:f>
              <c:strCache>
                <c:ptCount val="1"/>
                <c:pt idx="0">
                  <c:v>Poisson</c:v>
                </c:pt>
              </c:strCache>
            </c:strRef>
          </c:tx>
          <c:spPr>
            <a:solidFill>
              <a:schemeClr val="accent2"/>
            </a:solidFill>
            <a:ln>
              <a:noFill/>
            </a:ln>
            <a:effectLst/>
          </c:spPr>
          <c:invertIfNegative val="0"/>
          <c:val>
            <c:numRef>
              <c:f>'E3'!$C$11:$C$19</c:f>
              <c:numCache>
                <c:formatCode>General</c:formatCode>
                <c:ptCount val="9"/>
                <c:pt idx="0">
                  <c:v>0.20189651799465538</c:v>
                </c:pt>
                <c:pt idx="1">
                  <c:v>0.32303442879144867</c:v>
                </c:pt>
                <c:pt idx="2">
                  <c:v>0.25842754303315901</c:v>
                </c:pt>
                <c:pt idx="3">
                  <c:v>0.13782802295101812</c:v>
                </c:pt>
                <c:pt idx="4">
                  <c:v>5.5131209180407238E-2</c:v>
                </c:pt>
                <c:pt idx="5">
                  <c:v>1.7641986937730312E-2</c:v>
                </c:pt>
                <c:pt idx="6">
                  <c:v>4.7045298500614204E-3</c:v>
                </c:pt>
                <c:pt idx="7">
                  <c:v>1.0753211085854665E-3</c:v>
                </c:pt>
                <c:pt idx="8">
                  <c:v>2.1506422171709369E-4</c:v>
                </c:pt>
              </c:numCache>
            </c:numRef>
          </c:val>
          <c:extLst>
            <c:ext xmlns:c16="http://schemas.microsoft.com/office/drawing/2014/chart" uri="{C3380CC4-5D6E-409C-BE32-E72D297353CC}">
              <c16:uniqueId val="{00000001-E8EB-4ABE-BBF6-E04541AD7FF4}"/>
            </c:ext>
          </c:extLst>
        </c:ser>
        <c:dLbls>
          <c:showLegendKey val="0"/>
          <c:showVal val="0"/>
          <c:showCatName val="0"/>
          <c:showSerName val="0"/>
          <c:showPercent val="0"/>
          <c:showBubbleSize val="0"/>
        </c:dLbls>
        <c:gapWidth val="219"/>
        <c:overlap val="-27"/>
        <c:axId val="301981856"/>
        <c:axId val="301972056"/>
      </c:barChart>
      <c:catAx>
        <c:axId val="3019818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2056"/>
        <c:crosses val="autoZero"/>
        <c:auto val="1"/>
        <c:lblAlgn val="ctr"/>
        <c:lblOffset val="100"/>
        <c:noMultiLvlLbl val="0"/>
      </c:catAx>
      <c:valAx>
        <c:axId val="301972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8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'E3'!$A$21</c:f>
          <c:strCache>
            <c:ptCount val="1"/>
            <c:pt idx="0">
              <c:v>Distribuciones Continuas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'E3'!$B$28</c:f>
              <c:strCache>
                <c:ptCount val="1"/>
                <c:pt idx="0">
                  <c:v>Normal</c:v>
                </c:pt>
              </c:strCache>
            </c:strRef>
          </c:tx>
          <c:spPr>
            <a:ln w="28575" cap="rnd">
              <a:solidFill>
                <a:schemeClr val="accent1"/>
              </a:solidFill>
              <a:round/>
            </a:ln>
            <a:effectLst/>
          </c:spPr>
          <c:marker>
            <c:symbol val="none"/>
          </c:marker>
          <c:val>
            <c:numRef>
              <c:f>'E3'!$B$29:$B$129</c:f>
              <c:numCache>
                <c:formatCode>General</c:formatCode>
                <c:ptCount val="101"/>
                <c:pt idx="0">
                  <c:v>1.4867195147342977E-6</c:v>
                </c:pt>
                <c:pt idx="1">
                  <c:v>2.4389607458933522E-6</c:v>
                </c:pt>
                <c:pt idx="2">
                  <c:v>3.9612990910320753E-6</c:v>
                </c:pt>
                <c:pt idx="3">
                  <c:v>6.3698251788670899E-6</c:v>
                </c:pt>
                <c:pt idx="4">
                  <c:v>1.0140852065486758E-5</c:v>
                </c:pt>
                <c:pt idx="5">
                  <c:v>1.5983741106905475E-5</c:v>
                </c:pt>
                <c:pt idx="6">
                  <c:v>2.4942471290053535E-5</c:v>
                </c:pt>
                <c:pt idx="7">
                  <c:v>3.8535196742087129E-5</c:v>
                </c:pt>
                <c:pt idx="8">
                  <c:v>5.8943067756539855E-5</c:v>
                </c:pt>
                <c:pt idx="9">
                  <c:v>8.9261657177132928E-5</c:v>
                </c:pt>
                <c:pt idx="10">
                  <c:v>1.3383022576488537E-4</c:v>
                </c:pt>
                <c:pt idx="11">
                  <c:v>1.9865547139277272E-4</c:v>
                </c:pt>
                <c:pt idx="12">
                  <c:v>2.9194692579146027E-4</c:v>
                </c:pt>
                <c:pt idx="13">
                  <c:v>4.2478027055075143E-4</c:v>
                </c:pt>
                <c:pt idx="14">
                  <c:v>6.119019301137719E-4</c:v>
                </c:pt>
                <c:pt idx="15">
                  <c:v>8.7268269504576015E-4</c:v>
                </c:pt>
                <c:pt idx="16">
                  <c:v>1.2322191684730199E-3</c:v>
                </c:pt>
                <c:pt idx="17">
                  <c:v>1.7225689390536812E-3</c:v>
                </c:pt>
                <c:pt idx="18">
                  <c:v>2.3840882014648404E-3</c:v>
                </c:pt>
                <c:pt idx="19">
                  <c:v>3.2668190561999182E-3</c:v>
                </c:pt>
                <c:pt idx="20">
                  <c:v>4.4318484119380075E-3</c:v>
                </c:pt>
                <c:pt idx="21">
                  <c:v>5.9525324197758538E-3</c:v>
                </c:pt>
                <c:pt idx="22">
                  <c:v>7.9154515829799686E-3</c:v>
                </c:pt>
                <c:pt idx="23">
                  <c:v>1.0420934814422592E-2</c:v>
                </c:pt>
                <c:pt idx="24">
                  <c:v>1.3582969233685613E-2</c:v>
                </c:pt>
                <c:pt idx="25">
                  <c:v>1.752830049356854E-2</c:v>
                </c:pt>
                <c:pt idx="26">
                  <c:v>2.2394530294842899E-2</c:v>
                </c:pt>
                <c:pt idx="27">
                  <c:v>2.8327037741601186E-2</c:v>
                </c:pt>
                <c:pt idx="28">
                  <c:v>3.5474592846231424E-2</c:v>
                </c:pt>
                <c:pt idx="29">
                  <c:v>4.3983595980427191E-2</c:v>
                </c:pt>
                <c:pt idx="30">
                  <c:v>5.3990966513188063E-2</c:v>
                </c:pt>
                <c:pt idx="31">
                  <c:v>6.5615814774676595E-2</c:v>
                </c:pt>
                <c:pt idx="32">
                  <c:v>7.8950158300894177E-2</c:v>
                </c:pt>
                <c:pt idx="33">
                  <c:v>9.4049077376886905E-2</c:v>
                </c:pt>
                <c:pt idx="34">
                  <c:v>0.11092083467945554</c:v>
                </c:pt>
                <c:pt idx="35">
                  <c:v>0.12951759566589174</c:v>
                </c:pt>
                <c:pt idx="36">
                  <c:v>0.14972746563574488</c:v>
                </c:pt>
                <c:pt idx="37">
                  <c:v>0.17136859204780741</c:v>
                </c:pt>
                <c:pt idx="38">
                  <c:v>0.19418605498321292</c:v>
                </c:pt>
                <c:pt idx="39">
                  <c:v>0.21785217703255053</c:v>
                </c:pt>
                <c:pt idx="40">
                  <c:v>0.24197072451914337</c:v>
                </c:pt>
                <c:pt idx="41">
                  <c:v>0.26608524989875476</c:v>
                </c:pt>
                <c:pt idx="42">
                  <c:v>0.28969155276148278</c:v>
                </c:pt>
                <c:pt idx="43">
                  <c:v>0.31225393336676122</c:v>
                </c:pt>
                <c:pt idx="44">
                  <c:v>0.33322460289179973</c:v>
                </c:pt>
                <c:pt idx="45">
                  <c:v>0.35206532676429952</c:v>
                </c:pt>
                <c:pt idx="46">
                  <c:v>0.36827014030332328</c:v>
                </c:pt>
                <c:pt idx="47">
                  <c:v>0.38138781546052414</c:v>
                </c:pt>
                <c:pt idx="48">
                  <c:v>0.39104269397545588</c:v>
                </c:pt>
                <c:pt idx="49">
                  <c:v>0.39695254747701181</c:v>
                </c:pt>
                <c:pt idx="50">
                  <c:v>0.3989422804014327</c:v>
                </c:pt>
                <c:pt idx="51">
                  <c:v>0.39695254747701181</c:v>
                </c:pt>
                <c:pt idx="52">
                  <c:v>0.39104269397545588</c:v>
                </c:pt>
                <c:pt idx="53">
                  <c:v>0.38138781546052414</c:v>
                </c:pt>
                <c:pt idx="54">
                  <c:v>0.36827014030332328</c:v>
                </c:pt>
                <c:pt idx="55">
                  <c:v>0.35206532676429952</c:v>
                </c:pt>
                <c:pt idx="56">
                  <c:v>0.33322460289179973</c:v>
                </c:pt>
                <c:pt idx="57">
                  <c:v>0.31225393336676122</c:v>
                </c:pt>
                <c:pt idx="58">
                  <c:v>0.28969155276148278</c:v>
                </c:pt>
                <c:pt idx="59">
                  <c:v>0.26608524989875476</c:v>
                </c:pt>
                <c:pt idx="60">
                  <c:v>0.24197072451914337</c:v>
                </c:pt>
                <c:pt idx="61">
                  <c:v>0.21785217703255064</c:v>
                </c:pt>
                <c:pt idx="62">
                  <c:v>0.19418605498321292</c:v>
                </c:pt>
                <c:pt idx="63">
                  <c:v>0.17136859204780741</c:v>
                </c:pt>
                <c:pt idx="64">
                  <c:v>0.14972746563574479</c:v>
                </c:pt>
                <c:pt idx="65">
                  <c:v>0.12951759566589174</c:v>
                </c:pt>
                <c:pt idx="66">
                  <c:v>0.11092083467945563</c:v>
                </c:pt>
                <c:pt idx="67">
                  <c:v>9.4049077376886905E-2</c:v>
                </c:pt>
                <c:pt idx="68">
                  <c:v>7.8950158300894177E-2</c:v>
                </c:pt>
                <c:pt idx="69">
                  <c:v>6.5615814774676554E-2</c:v>
                </c:pt>
                <c:pt idx="70">
                  <c:v>5.3990966513188063E-2</c:v>
                </c:pt>
                <c:pt idx="71">
                  <c:v>4.3983595980427233E-2</c:v>
                </c:pt>
                <c:pt idx="72">
                  <c:v>3.5474592846231424E-2</c:v>
                </c:pt>
                <c:pt idx="73">
                  <c:v>2.8327037741601186E-2</c:v>
                </c:pt>
                <c:pt idx="74">
                  <c:v>2.2394530294842882E-2</c:v>
                </c:pt>
                <c:pt idx="75">
                  <c:v>1.752830049356854E-2</c:v>
                </c:pt>
                <c:pt idx="76">
                  <c:v>1.3582969233685634E-2</c:v>
                </c:pt>
                <c:pt idx="77">
                  <c:v>1.0420934814422592E-2</c:v>
                </c:pt>
                <c:pt idx="78">
                  <c:v>7.9154515829799686E-3</c:v>
                </c:pt>
                <c:pt idx="79">
                  <c:v>5.9525324197758486E-3</c:v>
                </c:pt>
                <c:pt idx="80">
                  <c:v>4.4318484119380075E-3</c:v>
                </c:pt>
                <c:pt idx="81">
                  <c:v>3.2668190561999247E-3</c:v>
                </c:pt>
                <c:pt idx="82">
                  <c:v>2.3840882014648486E-3</c:v>
                </c:pt>
                <c:pt idx="83">
                  <c:v>1.7225689390536767E-3</c:v>
                </c:pt>
                <c:pt idx="84">
                  <c:v>1.2322191684730175E-3</c:v>
                </c:pt>
                <c:pt idx="85">
                  <c:v>8.7268269504576015E-4</c:v>
                </c:pt>
                <c:pt idx="86">
                  <c:v>6.1190193011377298E-4</c:v>
                </c:pt>
                <c:pt idx="87">
                  <c:v>4.247802705507529E-4</c:v>
                </c:pt>
                <c:pt idx="88">
                  <c:v>2.9194692579145951E-4</c:v>
                </c:pt>
                <c:pt idx="89">
                  <c:v>1.9865547139277237E-4</c:v>
                </c:pt>
                <c:pt idx="90">
                  <c:v>1.3383022576488537E-4</c:v>
                </c:pt>
                <c:pt idx="91">
                  <c:v>8.9261657177132928E-5</c:v>
                </c:pt>
                <c:pt idx="92">
                  <c:v>5.8943067756540058E-5</c:v>
                </c:pt>
                <c:pt idx="93">
                  <c:v>3.8535196742086994E-5</c:v>
                </c:pt>
                <c:pt idx="94">
                  <c:v>2.4942471290053535E-5</c:v>
                </c:pt>
                <c:pt idx="95">
                  <c:v>1.5983741106905475E-5</c:v>
                </c:pt>
                <c:pt idx="96">
                  <c:v>1.0140852065486758E-5</c:v>
                </c:pt>
                <c:pt idx="97">
                  <c:v>6.3698251788671238E-6</c:v>
                </c:pt>
                <c:pt idx="98">
                  <c:v>3.9612990910320609E-6</c:v>
                </c:pt>
                <c:pt idx="99">
                  <c:v>2.4389607458933522E-6</c:v>
                </c:pt>
                <c:pt idx="100">
                  <c:v>1.4867195147342977E-6</c:v>
                </c:pt>
              </c:numCache>
            </c:numRef>
          </c:val>
          <c:smooth val="0"/>
          <c:extLst>
            <c:ext xmlns:c16="http://schemas.microsoft.com/office/drawing/2014/chart" uri="{C3380CC4-5D6E-409C-BE32-E72D297353CC}">
              <c16:uniqueId val="{00000000-2692-4B42-96F7-5FAAC818E696}"/>
            </c:ext>
          </c:extLst>
        </c:ser>
        <c:ser>
          <c:idx val="1"/>
          <c:order val="1"/>
          <c:tx>
            <c:strRef>
              <c:f>'E3'!$C$28</c:f>
              <c:strCache>
                <c:ptCount val="1"/>
                <c:pt idx="0">
                  <c:v>Exponencial</c:v>
                </c:pt>
              </c:strCache>
            </c:strRef>
          </c:tx>
          <c:spPr>
            <a:ln w="28575" cap="rnd">
              <a:solidFill>
                <a:schemeClr val="accent2"/>
              </a:solidFill>
              <a:round/>
            </a:ln>
            <a:effectLst/>
          </c:spPr>
          <c:marker>
            <c:symbol val="none"/>
          </c:marker>
          <c:val>
            <c:numRef>
              <c:f>'E3'!$C$29:$C$129</c:f>
              <c:numCache>
                <c:formatCode>General</c:formatCode>
                <c:ptCount val="101"/>
                <c:pt idx="0">
                  <c:v>0.2</c:v>
                </c:pt>
                <c:pt idx="1">
                  <c:v>0.19603973466135105</c:v>
                </c:pt>
                <c:pt idx="2">
                  <c:v>0.19215788783046464</c:v>
                </c:pt>
                <c:pt idx="3">
                  <c:v>0.18835290671684976</c:v>
                </c:pt>
                <c:pt idx="4">
                  <c:v>0.18462326927732717</c:v>
                </c:pt>
                <c:pt idx="5">
                  <c:v>0.18096748360719192</c:v>
                </c:pt>
                <c:pt idx="6">
                  <c:v>0.1773840873434315</c:v>
                </c:pt>
                <c:pt idx="7">
                  <c:v>0.17387164707976119</c:v>
                </c:pt>
                <c:pt idx="8">
                  <c:v>0.17042875779324229</c:v>
                </c:pt>
                <c:pt idx="9">
                  <c:v>0.1670540422822544</c:v>
                </c:pt>
                <c:pt idx="10">
                  <c:v>0.16374615061559639</c:v>
                </c:pt>
                <c:pt idx="11">
                  <c:v>0.16050375959249572</c:v>
                </c:pt>
                <c:pt idx="12">
                  <c:v>0.1573255722133107</c:v>
                </c:pt>
                <c:pt idx="13">
                  <c:v>0.15421031716071326</c:v>
                </c:pt>
                <c:pt idx="14">
                  <c:v>0.15115674829114512</c:v>
                </c:pt>
                <c:pt idx="15">
                  <c:v>0.14816364413634359</c:v>
                </c:pt>
                <c:pt idx="16">
                  <c:v>0.14522980741473818</c:v>
                </c:pt>
                <c:pt idx="17">
                  <c:v>0.14235406455252195</c:v>
                </c:pt>
                <c:pt idx="18">
                  <c:v>0.1395352652142062</c:v>
                </c:pt>
                <c:pt idx="19">
                  <c:v>0.13677228184247117</c:v>
                </c:pt>
                <c:pt idx="20">
                  <c:v>0.13406400920712788</c:v>
                </c:pt>
                <c:pt idx="21">
                  <c:v>0.13140936396301137</c:v>
                </c:pt>
                <c:pt idx="22">
                  <c:v>0.12880728421662826</c:v>
                </c:pt>
                <c:pt idx="23">
                  <c:v>0.12625672910138519</c:v>
                </c:pt>
                <c:pt idx="24">
                  <c:v>0.12375667836122817</c:v>
                </c:pt>
                <c:pt idx="25">
                  <c:v>0.12130613194252669</c:v>
                </c:pt>
                <c:pt idx="26">
                  <c:v>0.11890410959403888</c:v>
                </c:pt>
                <c:pt idx="27">
                  <c:v>0.11654965047479793</c:v>
                </c:pt>
                <c:pt idx="28">
                  <c:v>0.11424181276976297</c:v>
                </c:pt>
                <c:pt idx="29">
                  <c:v>0.11197967331308041</c:v>
                </c:pt>
                <c:pt idx="30">
                  <c:v>0.10976232721880529</c:v>
                </c:pt>
                <c:pt idx="31">
                  <c:v>0.1075888875189349</c:v>
                </c:pt>
                <c:pt idx="32">
                  <c:v>0.10545848480860971</c:v>
                </c:pt>
                <c:pt idx="33">
                  <c:v>0.10337026689833984</c:v>
                </c:pt>
                <c:pt idx="34">
                  <c:v>0.10132339847311791</c:v>
                </c:pt>
                <c:pt idx="35">
                  <c:v>9.9317060758281894E-2</c:v>
                </c:pt>
                <c:pt idx="36">
                  <c:v>9.7350451191994328E-2</c:v>
                </c:pt>
                <c:pt idx="37">
                  <c:v>9.5422783104206876E-2</c:v>
                </c:pt>
                <c:pt idx="38">
                  <c:v>9.3533285401981858E-2</c:v>
                </c:pt>
                <c:pt idx="39">
                  <c:v>9.1681202261044703E-2</c:v>
                </c:pt>
                <c:pt idx="40">
                  <c:v>8.9865792823444313E-2</c:v>
                </c:pt>
                <c:pt idx="41">
                  <c:v>8.8086330901199869E-2</c:v>
                </c:pt>
                <c:pt idx="42">
                  <c:v>8.6342104685815935E-2</c:v>
                </c:pt>
                <c:pt idx="43">
                  <c:v>8.463241646354977E-2</c:v>
                </c:pt>
                <c:pt idx="44">
                  <c:v>8.2956582336316267E-2</c:v>
                </c:pt>
                <c:pt idx="45">
                  <c:v>8.1313931948119825E-2</c:v>
                </c:pt>
                <c:pt idx="46">
                  <c:v>7.9703808216902844E-2</c:v>
                </c:pt>
                <c:pt idx="47">
                  <c:v>7.8125567071704219E-2</c:v>
                </c:pt>
                <c:pt idx="48">
                  <c:v>7.6578577195022424E-2</c:v>
                </c:pt>
                <c:pt idx="49">
                  <c:v>7.5062219770279909E-2</c:v>
                </c:pt>
                <c:pt idx="50">
                  <c:v>7.357588823428847E-2</c:v>
                </c:pt>
                <c:pt idx="51">
                  <c:v>7.2118988034615666E-2</c:v>
                </c:pt>
                <c:pt idx="52">
                  <c:v>7.069093639175604E-2</c:v>
                </c:pt>
                <c:pt idx="53">
                  <c:v>6.9291162066011477E-2</c:v>
                </c:pt>
                <c:pt idx="54">
                  <c:v>6.7919105128987828E-2</c:v>
                </c:pt>
                <c:pt idx="55">
                  <c:v>6.6574216739615916E-2</c:v>
                </c:pt>
                <c:pt idx="56">
                  <c:v>6.5255958924607907E-2</c:v>
                </c:pt>
                <c:pt idx="57">
                  <c:v>6.3963804363260768E-2</c:v>
                </c:pt>
                <c:pt idx="58">
                  <c:v>6.2697236176521065E-2</c:v>
                </c:pt>
                <c:pt idx="59">
                  <c:v>6.1455747720226245E-2</c:v>
                </c:pt>
                <c:pt idx="60">
                  <c:v>6.0238842382440407E-2</c:v>
                </c:pt>
                <c:pt idx="61">
                  <c:v>5.9046033384802847E-2</c:v>
                </c:pt>
                <c:pt idx="62">
                  <c:v>5.7876843587810117E-2</c:v>
                </c:pt>
                <c:pt idx="63">
                  <c:v>5.6730805299954085E-2</c:v>
                </c:pt>
                <c:pt idx="64">
                  <c:v>5.560746009063882E-2</c:v>
                </c:pt>
                <c:pt idx="65">
                  <c:v>5.4506358606802523E-2</c:v>
                </c:pt>
                <c:pt idx="66">
                  <c:v>5.3427060393170071E-2</c:v>
                </c:pt>
                <c:pt idx="67">
                  <c:v>5.2369133716065198E-2</c:v>
                </c:pt>
                <c:pt idx="68">
                  <c:v>5.1332155390711176E-2</c:v>
                </c:pt>
                <c:pt idx="69">
                  <c:v>5.0315710611951295E-2</c:v>
                </c:pt>
                <c:pt idx="70">
                  <c:v>4.9319392788321287E-2</c:v>
                </c:pt>
                <c:pt idx="71">
                  <c:v>4.8342803379407294E-2</c:v>
                </c:pt>
                <c:pt idx="72">
                  <c:v>4.7385551736424343E-2</c:v>
                </c:pt>
                <c:pt idx="73">
                  <c:v>4.6447254945951769E-2</c:v>
                </c:pt>
                <c:pt idx="74">
                  <c:v>4.5527537676762542E-2</c:v>
                </c:pt>
                <c:pt idx="75">
                  <c:v>4.4626032029685965E-2</c:v>
                </c:pt>
                <c:pt idx="76">
                  <c:v>4.3742377390442955E-2</c:v>
                </c:pt>
                <c:pt idx="77">
                  <c:v>4.2876220285395589E-2</c:v>
                </c:pt>
                <c:pt idx="78">
                  <c:v>4.2027214240152946E-2</c:v>
                </c:pt>
                <c:pt idx="79">
                  <c:v>4.1195019640976688E-2</c:v>
                </c:pt>
                <c:pt idx="80">
                  <c:v>4.0379303598931077E-2</c:v>
                </c:pt>
                <c:pt idx="81">
                  <c:v>3.9579739816722935E-2</c:v>
                </c:pt>
                <c:pt idx="82">
                  <c:v>3.8796008458178384E-2</c:v>
                </c:pt>
                <c:pt idx="83">
                  <c:v>3.8027796020304101E-2</c:v>
                </c:pt>
                <c:pt idx="84">
                  <c:v>3.7274795207881989E-2</c:v>
                </c:pt>
                <c:pt idx="85">
                  <c:v>3.6536704810546924E-2</c:v>
                </c:pt>
                <c:pt idx="86">
                  <c:v>3.5813229582298649E-2</c:v>
                </c:pt>
                <c:pt idx="87">
                  <c:v>3.5104080123399377E-2</c:v>
                </c:pt>
                <c:pt idx="88">
                  <c:v>3.44089727646101E-2</c:v>
                </c:pt>
                <c:pt idx="89">
                  <c:v>3.3727629453719092E-2</c:v>
                </c:pt>
                <c:pt idx="90">
                  <c:v>3.3059777644317306E-2</c:v>
                </c:pt>
                <c:pt idx="91">
                  <c:v>3.2405150186776151E-2</c:v>
                </c:pt>
                <c:pt idx="92">
                  <c:v>3.1763485221384141E-2</c:v>
                </c:pt>
                <c:pt idx="93">
                  <c:v>3.1134526073599452E-2</c:v>
                </c:pt>
                <c:pt idx="94">
                  <c:v>3.0518021151376775E-2</c:v>
                </c:pt>
                <c:pt idx="95">
                  <c:v>2.9913723844527007E-2</c:v>
                </c:pt>
                <c:pt idx="96">
                  <c:v>2.9321392426070032E-2</c:v>
                </c:pt>
                <c:pt idx="97">
                  <c:v>2.8740789955540587E-2</c:v>
                </c:pt>
                <c:pt idx="98">
                  <c:v>2.8171684184208998E-2</c:v>
                </c:pt>
                <c:pt idx="99">
                  <c:v>2.761384746217856E-2</c:v>
                </c:pt>
                <c:pt idx="100">
                  <c:v>2.7067056647322542E-2</c:v>
                </c:pt>
              </c:numCache>
            </c:numRef>
          </c:val>
          <c:smooth val="0"/>
          <c:extLst>
            <c:ext xmlns:c16="http://schemas.microsoft.com/office/drawing/2014/chart" uri="{C3380CC4-5D6E-409C-BE32-E72D297353CC}">
              <c16:uniqueId val="{00000001-2692-4B42-96F7-5FAAC818E696}"/>
            </c:ext>
          </c:extLst>
        </c:ser>
        <c:dLbls>
          <c:showLegendKey val="0"/>
          <c:showVal val="0"/>
          <c:showCatName val="0"/>
          <c:showSerName val="0"/>
          <c:showPercent val="0"/>
          <c:showBubbleSize val="0"/>
        </c:dLbls>
        <c:smooth val="0"/>
        <c:axId val="301973232"/>
        <c:axId val="301973624"/>
      </c:lineChart>
      <c:catAx>
        <c:axId val="3019732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3624"/>
        <c:crosses val="autoZero"/>
        <c:auto val="1"/>
        <c:lblAlgn val="ctr"/>
        <c:lblOffset val="100"/>
        <c:noMultiLvlLbl val="0"/>
      </c:catAx>
      <c:valAx>
        <c:axId val="301973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3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P(Desabastecimiento)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'E4'!$B$31</c:f>
              <c:strCache>
                <c:ptCount val="1"/>
                <c:pt idx="0">
                  <c:v>A</c:v>
                </c:pt>
              </c:strCache>
            </c:strRef>
          </c:tx>
          <c:spPr>
            <a:ln w="28575" cap="rnd">
              <a:solidFill>
                <a:schemeClr val="accent1"/>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'E4'!$B$32:$B$56</c:f>
              <c:numCache>
                <c:formatCode>General</c:formatCode>
                <c:ptCount val="25"/>
                <c:pt idx="0">
                  <c:v>0.35754690870175132</c:v>
                </c:pt>
                <c:pt idx="1">
                  <c:v>0.23895651357773884</c:v>
                </c:pt>
                <c:pt idx="2">
                  <c:v>0.14612994647822286</c:v>
                </c:pt>
                <c:pt idx="3">
                  <c:v>8.1420720966120186E-2</c:v>
                </c:pt>
                <c:pt idx="4">
                  <c:v>4.1204059442510599E-2</c:v>
                </c:pt>
                <c:pt idx="5">
                  <c:v>1.8896240800231112E-2</c:v>
                </c:pt>
                <c:pt idx="6">
                  <c:v>7.8408076386016212E-3</c:v>
                </c:pt>
                <c:pt idx="7">
                  <c:v>2.9406561714606649E-3</c:v>
                </c:pt>
                <c:pt idx="8">
                  <c:v>9.9620361784491518E-4</c:v>
                </c:pt>
                <c:pt idx="9">
                  <c:v>3.047387722625583E-4</c:v>
                </c:pt>
                <c:pt idx="10">
                  <c:v>8.4166650642369945E-5</c:v>
                </c:pt>
                <c:pt idx="11">
                  <c:v>2.0990370922402413E-5</c:v>
                </c:pt>
                <c:pt idx="12">
                  <c:v>5.3739771588290353E-6</c:v>
                </c:pt>
                <c:pt idx="13">
                  <c:v>9.6207728894626143E-7</c:v>
                </c:pt>
                <c:pt idx="14">
                  <c:v>1.7694502307818993E-7</c:v>
                </c:pt>
                <c:pt idx="15">
                  <c:v>2.9427481451627102E-8</c:v>
                </c:pt>
                <c:pt idx="16">
                  <c:v>4.4277248534285718E-9</c:v>
                </c:pt>
                <c:pt idx="17">
                  <c:v>6.0306470928139788E-10</c:v>
                </c:pt>
                <c:pt idx="18">
                  <c:v>7.4397599192366215E-11</c:v>
                </c:pt>
                <c:pt idx="19">
                  <c:v>8.3182349897015229E-12</c:v>
                </c:pt>
                <c:pt idx="20">
                  <c:v>8.4343643180773142E-13</c:v>
                </c:pt>
                <c:pt idx="21">
                  <c:v>7.7604589421298442E-14</c:v>
                </c:pt>
                <c:pt idx="22">
                  <c:v>6.4392935428259079E-15</c:v>
                </c:pt>
                <c:pt idx="23">
                  <c:v>0</c:v>
                </c:pt>
                <c:pt idx="24">
                  <c:v>0</c:v>
                </c:pt>
              </c:numCache>
            </c:numRef>
          </c:val>
          <c:smooth val="0"/>
          <c:extLst>
            <c:ext xmlns:c16="http://schemas.microsoft.com/office/drawing/2014/chart" uri="{C3380CC4-5D6E-409C-BE32-E72D297353CC}">
              <c16:uniqueId val="{00000000-1040-470E-AB76-61D18895935B}"/>
            </c:ext>
          </c:extLst>
        </c:ser>
        <c:ser>
          <c:idx val="1"/>
          <c:order val="1"/>
          <c:tx>
            <c:strRef>
              <c:f>'E4'!$C$31</c:f>
              <c:strCache>
                <c:ptCount val="1"/>
                <c:pt idx="0">
                  <c:v>B</c:v>
                </c:pt>
              </c:strCache>
            </c:strRef>
          </c:tx>
          <c:spPr>
            <a:ln w="28575" cap="rnd">
              <a:solidFill>
                <a:schemeClr val="accent2"/>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'E4'!$C$32:$C$56</c:f>
              <c:numCache>
                <c:formatCode>General</c:formatCode>
                <c:ptCount val="25"/>
                <c:pt idx="0">
                  <c:v>0.40791940921773384</c:v>
                </c:pt>
                <c:pt idx="1">
                  <c:v>0.33293813469425992</c:v>
                </c:pt>
                <c:pt idx="2">
                  <c:v>0.26432133528195245</c:v>
                </c:pt>
                <c:pt idx="3">
                  <c:v>0.20391940439584255</c:v>
                </c:pt>
                <c:pt idx="4">
                  <c:v>0.15275411775380743</c:v>
                </c:pt>
                <c:pt idx="5">
                  <c:v>0.11103235444155524</c:v>
                </c:pt>
                <c:pt idx="6">
                  <c:v>7.8270535824974452E-2</c:v>
                </c:pt>
                <c:pt idx="7">
                  <c:v>5.3488099275831313E-2</c:v>
                </c:pt>
                <c:pt idx="8">
                  <c:v>3.5422998275552287E-2</c:v>
                </c:pt>
                <c:pt idx="9">
                  <c:v>2.2728832358929529E-2</c:v>
                </c:pt>
                <c:pt idx="10">
                  <c:v>1.4127224036570851E-2</c:v>
                </c:pt>
                <c:pt idx="11">
                  <c:v>8.5049940165937699E-3</c:v>
                </c:pt>
                <c:pt idx="12">
                  <c:v>5.692086095151816E-3</c:v>
                </c:pt>
                <c:pt idx="13">
                  <c:v>2.8004182478488238E-3</c:v>
                </c:pt>
                <c:pt idx="14">
                  <c:v>1.7863600359626641E-3</c:v>
                </c:pt>
                <c:pt idx="15">
                  <c:v>9.5385284968796391E-4</c:v>
                </c:pt>
                <c:pt idx="16">
                  <c:v>4.1627887654893669E-4</c:v>
                </c:pt>
                <c:pt idx="17">
                  <c:v>2.0690018861357906E-4</c:v>
                </c:pt>
                <c:pt idx="18">
                  <c:v>9.9624710385493032E-5</c:v>
                </c:pt>
                <c:pt idx="19">
                  <c:v>4.647874447583078E-5</c:v>
                </c:pt>
                <c:pt idx="20">
                  <c:v>2.1012596219227575E-5</c:v>
                </c:pt>
                <c:pt idx="21">
                  <c:v>9.2067100843085115E-6</c:v>
                </c:pt>
                <c:pt idx="22">
                  <c:v>3.9101537823160726E-6</c:v>
                </c:pt>
                <c:pt idx="23">
                  <c:v>1.6099639577049629E-6</c:v>
                </c:pt>
                <c:pt idx="24">
                  <c:v>6.4275035516203616E-7</c:v>
                </c:pt>
              </c:numCache>
            </c:numRef>
          </c:val>
          <c:smooth val="0"/>
          <c:extLst>
            <c:ext xmlns:c16="http://schemas.microsoft.com/office/drawing/2014/chart" uri="{C3380CC4-5D6E-409C-BE32-E72D297353CC}">
              <c16:uniqueId val="{00000001-1040-470E-AB76-61D18895935B}"/>
            </c:ext>
          </c:extLst>
        </c:ser>
        <c:ser>
          <c:idx val="2"/>
          <c:order val="2"/>
          <c:tx>
            <c:strRef>
              <c:f>'E4'!$D$31</c:f>
              <c:strCache>
                <c:ptCount val="1"/>
                <c:pt idx="0">
                  <c:v>C</c:v>
                </c:pt>
              </c:strCache>
            </c:strRef>
          </c:tx>
          <c:spPr>
            <a:ln w="28575" cap="rnd">
              <a:solidFill>
                <a:schemeClr val="accent3"/>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'E4'!$D$32:$D$56</c:f>
              <c:numCache>
                <c:formatCode>General</c:formatCode>
                <c:ptCount val="25"/>
                <c:pt idx="0">
                  <c:v>0.39293494372643445</c:v>
                </c:pt>
                <c:pt idx="1">
                  <c:v>0.30315923028859038</c:v>
                </c:pt>
                <c:pt idx="2">
                  <c:v>0.22416619850711705</c:v>
                </c:pt>
                <c:pt idx="3">
                  <c:v>0.15858883682165681</c:v>
                </c:pt>
                <c:pt idx="4">
                  <c:v>0.10719681752944643</c:v>
                </c:pt>
                <c:pt idx="5">
                  <c:v>6.9155919505933028E-2</c:v>
                </c:pt>
                <c:pt idx="6">
                  <c:v>4.2545515672731682E-2</c:v>
                </c:pt>
                <c:pt idx="7">
                  <c:v>2.4944985455385482E-2</c:v>
                </c:pt>
                <c:pt idx="8">
                  <c:v>1.3932195416059612E-2</c:v>
                </c:pt>
                <c:pt idx="9">
                  <c:v>7.4101182204435734E-3</c:v>
                </c:pt>
                <c:pt idx="10">
                  <c:v>3.7524261698147487E-3</c:v>
                </c:pt>
                <c:pt idx="11">
                  <c:v>1.8089789249851052E-3</c:v>
                </c:pt>
                <c:pt idx="12">
                  <c:v>9.4849748237502141E-4</c:v>
                </c:pt>
                <c:pt idx="13">
                  <c:v>3.627032519307738E-4</c:v>
                </c:pt>
                <c:pt idx="14">
                  <c:v>1.5086811467157624E-4</c:v>
                </c:pt>
                <c:pt idx="15">
                  <c:v>5.9754093081454407E-5</c:v>
                </c:pt>
                <c:pt idx="16">
                  <c:v>2.2538822015971682E-5</c:v>
                </c:pt>
                <c:pt idx="17">
                  <c:v>8.0978469383374829E-6</c:v>
                </c:pt>
                <c:pt idx="18">
                  <c:v>2.7718783117691714E-6</c:v>
                </c:pt>
                <c:pt idx="19">
                  <c:v>9.0415860609649457E-7</c:v>
                </c:pt>
                <c:pt idx="20">
                  <c:v>2.8111705274724841E-7</c:v>
                </c:pt>
                <c:pt idx="21">
                  <c:v>8.3332321043627644E-8</c:v>
                </c:pt>
                <c:pt idx="22">
                  <c:v>2.3558052619776504E-8</c:v>
                </c:pt>
                <c:pt idx="23">
                  <c:v>6.3530787297594316E-9</c:v>
                </c:pt>
                <c:pt idx="24">
                  <c:v>1.6348202791505173E-9</c:v>
                </c:pt>
              </c:numCache>
            </c:numRef>
          </c:val>
          <c:smooth val="0"/>
          <c:extLst>
            <c:ext xmlns:c16="http://schemas.microsoft.com/office/drawing/2014/chart" uri="{C3380CC4-5D6E-409C-BE32-E72D297353CC}">
              <c16:uniqueId val="{00000002-1040-470E-AB76-61D18895935B}"/>
            </c:ext>
          </c:extLst>
        </c:ser>
        <c:ser>
          <c:idx val="3"/>
          <c:order val="3"/>
          <c:tx>
            <c:strRef>
              <c:f>'E4'!$E$31</c:f>
              <c:strCache>
                <c:ptCount val="1"/>
                <c:pt idx="0">
                  <c:v>D</c:v>
                </c:pt>
              </c:strCache>
            </c:strRef>
          </c:tx>
          <c:spPr>
            <a:ln w="28575" cap="rnd">
              <a:solidFill>
                <a:schemeClr val="accent4"/>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'E4'!$E$32:$E$56</c:f>
              <c:numCache>
                <c:formatCode>General</c:formatCode>
                <c:ptCount val="25"/>
                <c:pt idx="0">
                  <c:v>0.40014944805354247</c:v>
                </c:pt>
                <c:pt idx="1">
                  <c:v>0.31726006471976909</c:v>
                </c:pt>
                <c:pt idx="2">
                  <c:v>0.24288187685773022</c:v>
                </c:pt>
                <c:pt idx="3">
                  <c:v>0.17930079175265878</c:v>
                </c:pt>
                <c:pt idx="4">
                  <c:v>0.12749867961056982</c:v>
                </c:pt>
                <c:pt idx="5">
                  <c:v>8.7254610005697675E-2</c:v>
                </c:pt>
                <c:pt idx="6">
                  <c:v>5.7429284823796833E-2</c:v>
                </c:pt>
                <c:pt idx="7">
                  <c:v>3.6333887004609267E-2</c:v>
                </c:pt>
                <c:pt idx="8">
                  <c:v>2.2087775575231783E-2</c:v>
                </c:pt>
                <c:pt idx="9">
                  <c:v>1.289822084039205E-2</c:v>
                </c:pt>
                <c:pt idx="10">
                  <c:v>7.2337125057337914E-3</c:v>
                </c:pt>
                <c:pt idx="11">
                  <c:v>3.8957883799154436E-3</c:v>
                </c:pt>
                <c:pt idx="12">
                  <c:v>2.0146925894870549E-3</c:v>
                </c:pt>
                <c:pt idx="13">
                  <c:v>1.000463108033367E-3</c:v>
                </c:pt>
                <c:pt idx="14">
                  <c:v>4.7707953137299253E-4</c:v>
                </c:pt>
                <c:pt idx="15">
                  <c:v>2.1848028158111266E-4</c:v>
                </c:pt>
                <c:pt idx="16">
                  <c:v>9.6097680866602531E-5</c:v>
                </c:pt>
                <c:pt idx="17">
                  <c:v>4.0602340016016036E-5</c:v>
                </c:pt>
                <c:pt idx="18">
                  <c:v>1.6481396646117474E-5</c:v>
                </c:pt>
                <c:pt idx="19">
                  <c:v>6.4286011182135283E-6</c:v>
                </c:pt>
                <c:pt idx="20">
                  <c:v>2.4099017086331997E-6</c:v>
                </c:pt>
                <c:pt idx="21">
                  <c:v>8.6841728808018104E-7</c:v>
                </c:pt>
                <c:pt idx="22">
                  <c:v>3.0088039404407851E-7</c:v>
                </c:pt>
                <c:pt idx="23">
                  <c:v>1.0025106034206033E-7</c:v>
                </c:pt>
                <c:pt idx="24">
                  <c:v>3.2129929050661588E-8</c:v>
                </c:pt>
              </c:numCache>
            </c:numRef>
          </c:val>
          <c:smooth val="0"/>
          <c:extLst>
            <c:ext xmlns:c16="http://schemas.microsoft.com/office/drawing/2014/chart" uri="{C3380CC4-5D6E-409C-BE32-E72D297353CC}">
              <c16:uniqueId val="{00000003-1040-470E-AB76-61D18895935B}"/>
            </c:ext>
          </c:extLst>
        </c:ser>
        <c:ser>
          <c:idx val="4"/>
          <c:order val="4"/>
          <c:tx>
            <c:strRef>
              <c:f>'E4'!$F$31</c:f>
              <c:strCache>
                <c:ptCount val="1"/>
                <c:pt idx="0">
                  <c:v>E</c:v>
                </c:pt>
              </c:strCache>
            </c:strRef>
          </c:tx>
          <c:spPr>
            <a:ln w="28575" cap="rnd">
              <a:solidFill>
                <a:schemeClr val="accent5"/>
              </a:solidFill>
              <a:round/>
            </a:ln>
            <a:effectLst/>
          </c:spPr>
          <c:marker>
            <c:symbol val="none"/>
          </c:marker>
          <c:cat>
            <c:numRef>
              <c:f>'E4'!$A$32:$A$56</c:f>
              <c:numCache>
                <c:formatCode>0%</c:formatCode>
                <c:ptCount val="25"/>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numCache>
            </c:numRef>
          </c:cat>
          <c:val>
            <c:numRef>
              <c:f>'E4'!$F$32:$F$56</c:f>
              <c:numCache>
                <c:formatCode>General</c:formatCode>
                <c:ptCount val="25"/>
                <c:pt idx="0">
                  <c:v>0.37385569026328747</c:v>
                </c:pt>
                <c:pt idx="1">
                  <c:v>0.26759291191048729</c:v>
                </c:pt>
                <c:pt idx="2">
                  <c:v>0.1794180228031601</c:v>
                </c:pt>
                <c:pt idx="3">
                  <c:v>0.11235511734704495</c:v>
                </c:pt>
                <c:pt idx="4">
                  <c:v>6.556514158307758E-2</c:v>
                </c:pt>
                <c:pt idx="5">
                  <c:v>3.5593626764505837E-2</c:v>
                </c:pt>
                <c:pt idx="6">
                  <c:v>1.795374462912136E-2</c:v>
                </c:pt>
                <c:pt idx="7">
                  <c:v>8.4070516135745788E-3</c:v>
                </c:pt>
                <c:pt idx="8">
                  <c:v>3.6524581469088435E-3</c:v>
                </c:pt>
                <c:pt idx="9">
                  <c:v>1.4717191157335163E-3</c:v>
                </c:pt>
                <c:pt idx="10">
                  <c:v>5.4990226571183243E-4</c:v>
                </c:pt>
                <c:pt idx="11">
                  <c:v>1.9052450457590631E-4</c:v>
                </c:pt>
                <c:pt idx="12">
                  <c:v>6.9704006653958928E-5</c:v>
                </c:pt>
                <c:pt idx="13">
                  <c:v>1.8241584456069049E-5</c:v>
                </c:pt>
                <c:pt idx="14">
                  <c:v>5.0428952798053928E-6</c:v>
                </c:pt>
                <c:pt idx="15">
                  <c:v>1.2936890815273827E-6</c:v>
                </c:pt>
                <c:pt idx="16">
                  <c:v>3.0807479167727081E-7</c:v>
                </c:pt>
                <c:pt idx="17">
                  <c:v>6.8126723484773777E-8</c:v>
                </c:pt>
                <c:pt idx="18">
                  <c:v>1.3995378189690655E-8</c:v>
                </c:pt>
                <c:pt idx="19">
                  <c:v>2.6720072821007079E-9</c:v>
                </c:pt>
                <c:pt idx="20">
                  <c:v>4.7431170102640863E-10</c:v>
                </c:pt>
                <c:pt idx="21">
                  <c:v>7.8317019536200405E-11</c:v>
                </c:pt>
                <c:pt idx="22">
                  <c:v>1.2034040430819459E-11</c:v>
                </c:pt>
                <c:pt idx="23">
                  <c:v>1.7216228442862302E-12</c:v>
                </c:pt>
                <c:pt idx="24">
                  <c:v>2.2937207688755734E-13</c:v>
                </c:pt>
              </c:numCache>
            </c:numRef>
          </c:val>
          <c:smooth val="0"/>
          <c:extLst>
            <c:ext xmlns:c16="http://schemas.microsoft.com/office/drawing/2014/chart" uri="{C3380CC4-5D6E-409C-BE32-E72D297353CC}">
              <c16:uniqueId val="{00000004-1040-470E-AB76-61D18895935B}"/>
            </c:ext>
          </c:extLst>
        </c:ser>
        <c:dLbls>
          <c:showLegendKey val="0"/>
          <c:showVal val="0"/>
          <c:showCatName val="0"/>
          <c:showSerName val="0"/>
          <c:showPercent val="0"/>
          <c:showBubbleSize val="0"/>
        </c:dLbls>
        <c:smooth val="0"/>
        <c:axId val="284094688"/>
        <c:axId val="284091328"/>
      </c:lineChart>
      <c:catAx>
        <c:axId val="284094688"/>
        <c:scaling>
          <c:orientation val="minMax"/>
        </c:scaling>
        <c:delete val="0"/>
        <c:axPos val="b"/>
        <c:title>
          <c:tx>
            <c:strRef>
              <c:f>'E4'!$A$30:$A$31</c:f>
              <c:strCache>
                <c:ptCount val="2"/>
                <c:pt idx="0">
                  <c:v>Exceso de seguridad</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84091328"/>
        <c:crosses val="autoZero"/>
        <c:auto val="1"/>
        <c:lblAlgn val="ctr"/>
        <c:lblOffset val="100"/>
        <c:noMultiLvlLbl val="0"/>
      </c:catAx>
      <c:valAx>
        <c:axId val="28409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84094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chart" Target="../charts/chart4.xml"/><Relationship Id="rId4"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3174</xdr:colOff>
      <xdr:row>25</xdr:row>
      <xdr:rowOff>12700</xdr:rowOff>
    </xdr:from>
    <xdr:to>
      <xdr:col>13</xdr:col>
      <xdr:colOff>355600</xdr:colOff>
      <xdr:row>41</xdr:row>
      <xdr:rowOff>6350</xdr:rowOff>
    </xdr:to>
    <xdr:graphicFrame macro="">
      <xdr:nvGraphicFramePr>
        <xdr:cNvPr id="2" name="Gráfico 1">
          <a:extLst>
            <a:ext uri="{FF2B5EF4-FFF2-40B4-BE49-F238E27FC236}">
              <a16:creationId xmlns:a16="http://schemas.microsoft.com/office/drawing/2014/main" id="{846EBBE3-CBC3-4365-81FE-29DA968A7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446942</xdr:colOff>
      <xdr:row>6</xdr:row>
      <xdr:rowOff>50312</xdr:rowOff>
    </xdr:from>
    <xdr:to>
      <xdr:col>10</xdr:col>
      <xdr:colOff>444988</xdr:colOff>
      <xdr:row>21</xdr:row>
      <xdr:rowOff>63989</xdr:rowOff>
    </xdr:to>
    <xdr:graphicFrame macro="">
      <xdr:nvGraphicFramePr>
        <xdr:cNvPr id="2" name="Gráfico 1">
          <a:extLst>
            <a:ext uri="{FF2B5EF4-FFF2-40B4-BE49-F238E27FC236}">
              <a16:creationId xmlns:a16="http://schemas.microsoft.com/office/drawing/2014/main" id="{1DEEE063-2510-40AC-A742-A74F3B875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26</xdr:row>
      <xdr:rowOff>0</xdr:rowOff>
    </xdr:from>
    <xdr:to>
      <xdr:col>10</xdr:col>
      <xdr:colOff>0</xdr:colOff>
      <xdr:row>40</xdr:row>
      <xdr:rowOff>165100</xdr:rowOff>
    </xdr:to>
    <xdr:graphicFrame macro="">
      <xdr:nvGraphicFramePr>
        <xdr:cNvPr id="3" name="Gráfico 2">
          <a:extLst>
            <a:ext uri="{FF2B5EF4-FFF2-40B4-BE49-F238E27FC236}">
              <a16:creationId xmlns:a16="http://schemas.microsoft.com/office/drawing/2014/main" id="{52A417D4-A189-46E1-9D38-0A0889820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0</xdr:colOff>
      <xdr:row>10</xdr:row>
      <xdr:rowOff>180974</xdr:rowOff>
    </xdr:to>
    <xdr:sp macro="" textlink="">
      <xdr:nvSpPr>
        <xdr:cNvPr id="2" name="1 CuadroTexto">
          <a:extLst>
            <a:ext uri="{FF2B5EF4-FFF2-40B4-BE49-F238E27FC236}">
              <a16:creationId xmlns:a16="http://schemas.microsoft.com/office/drawing/2014/main" id="{C82E1A65-EE8E-4CAE-9407-DFEA5990706C}"/>
            </a:ext>
          </a:extLst>
        </xdr:cNvPr>
        <xdr:cNvSpPr txBox="1"/>
      </xdr:nvSpPr>
      <xdr:spPr>
        <a:xfrm>
          <a:off x="0" y="0"/>
          <a:ext cx="10201275" cy="2085974"/>
        </a:xfrm>
        <a:prstGeom prst="rect">
          <a:avLst/>
        </a:prstGeom>
        <a:ln/>
      </xdr:spPr>
      <xdr:style>
        <a:lnRef idx="2">
          <a:schemeClr val="dk1"/>
        </a:lnRef>
        <a:fillRef idx="1">
          <a:schemeClr val="lt1"/>
        </a:fillRef>
        <a:effectRef idx="0">
          <a:schemeClr val="dk1"/>
        </a:effectRef>
        <a:fontRef idx="minor">
          <a:schemeClr val="dk1"/>
        </a:fontRef>
      </xdr:style>
      <xdr:txBody>
        <a:bodyPr vertOverflow="clip" wrap="square" rtlCol="0" anchor="t"/>
        <a:lstStyle/>
        <a:p>
          <a:r>
            <a:rPr lang="es-ES" sz="1100" b="1"/>
            <a:t>Enunciado</a:t>
          </a:r>
          <a:endParaRPr lang="es-ES" sz="1100" b="0"/>
        </a:p>
        <a:p>
          <a:r>
            <a:rPr lang="es-ES" sz="1100" b="0"/>
            <a:t>Una empresa suministra un determinado tipo de piezas a 3 clientes</a:t>
          </a:r>
          <a:r>
            <a:rPr lang="es-ES" sz="1100" b="0" baseline="0"/>
            <a:t> (A, B, C, D y E). La probabilidad de que una pieza defectuosa no sea detectada y se envíe al cliente es del 0.10%. A dichos clientes se les suministran lotes de estas piezas de distintos tamaños y con límites diferentes respecto al nº de piezas defectuosas por lote. Los tamaños de lote son de 1200, 400, 600, 500 y 900 piezas respectivamente. Los límites de piezas  defectuosas acordados del 0.5%, 1%, 0.75%, 0.75% y 0.5% respectivamente. </a:t>
          </a:r>
        </a:p>
        <a:p>
          <a:r>
            <a:rPr lang="es-ES" sz="1100" b="1" i="1" baseline="0"/>
            <a:t>i) Determinar la probabilidad de que un lote sea rechazado por cada cliente.</a:t>
          </a:r>
        </a:p>
        <a:p>
          <a:r>
            <a:rPr lang="es-ES" sz="1100" b="0"/>
            <a:t>El</a:t>
          </a:r>
          <a:r>
            <a:rPr lang="es-ES" sz="1100" b="0" baseline="0"/>
            <a:t> envío de las piezas a los clientes se realiza una vez tras cada intervalo constante de tiempo tal que por término medio el cliente consume el tamaño del lote.  Las piezas del lote son consumidas de forma aleatoria con una tasa de probabilidad constante en el tiempo. Para evitar desabastecimientos, cada cliente establece un exceso de piezas de </a:t>
          </a:r>
          <a:r>
            <a:rPr lang="es-ES" sz="1100" b="0" baseline="0">
              <a:solidFill>
                <a:schemeClr val="dk1"/>
              </a:solidFill>
              <a:effectLst/>
              <a:latin typeface="+mn-lt"/>
              <a:ea typeface="+mn-ea"/>
              <a:cs typeface="+mn-cs"/>
            </a:rPr>
            <a:t>seguridad </a:t>
          </a:r>
          <a:r>
            <a:rPr lang="es-ES" sz="1100" b="0" baseline="0"/>
            <a:t>en el momento del abastecimiento del 10%, 12%, 8%, 10% y 7% del tamaño del lote, respectivamente. </a:t>
          </a:r>
        </a:p>
        <a:p>
          <a:r>
            <a:rPr lang="es-ES" sz="1100" b="1" i="1" baseline="0"/>
            <a:t>ii) Bajo estas condiciones, determinar la probabilidad de que cada cliente se quede sin piezas en el tiempo entre envíos.</a:t>
          </a:r>
        </a:p>
        <a:p>
          <a:r>
            <a:rPr lang="es-ES" sz="1100" b="0" i="0" baseline="0"/>
            <a:t>NOTA: Recordar que la distribución de Poisson nos da la probabilidad del número de ocurrencias de un evento en un intervalo determinado cuya probabilidad de ocurrencia es constante en el tiempo.</a:t>
          </a:r>
        </a:p>
      </xdr:txBody>
    </xdr:sp>
    <xdr:clientData/>
  </xdr:twoCellAnchor>
  <xdr:twoCellAnchor>
    <xdr:from>
      <xdr:col>0</xdr:col>
      <xdr:colOff>0</xdr:colOff>
      <xdr:row>57</xdr:row>
      <xdr:rowOff>0</xdr:rowOff>
    </xdr:from>
    <xdr:to>
      <xdr:col>6</xdr:col>
      <xdr:colOff>0</xdr:colOff>
      <xdr:row>78</xdr:row>
      <xdr:rowOff>34764</xdr:rowOff>
    </xdr:to>
    <xdr:graphicFrame macro="">
      <xdr:nvGraphicFramePr>
        <xdr:cNvPr id="3" name="Gráfico 2">
          <a:extLst>
            <a:ext uri="{FF2B5EF4-FFF2-40B4-BE49-F238E27FC236}">
              <a16:creationId xmlns:a16="http://schemas.microsoft.com/office/drawing/2014/main" id="{B1E6604A-8FE3-4898-9FEA-3D4FB2F40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142875</xdr:colOff>
      <xdr:row>11</xdr:row>
      <xdr:rowOff>114300</xdr:rowOff>
    </xdr:from>
    <xdr:to>
      <xdr:col>11</xdr:col>
      <xdr:colOff>752474</xdr:colOff>
      <xdr:row>26</xdr:row>
      <xdr:rowOff>334774</xdr:rowOff>
    </xdr:to>
    <xdr:pic>
      <xdr:nvPicPr>
        <xdr:cNvPr id="4" name="Imagen 3">
          <a:extLst>
            <a:ext uri="{FF2B5EF4-FFF2-40B4-BE49-F238E27FC236}">
              <a16:creationId xmlns:a16="http://schemas.microsoft.com/office/drawing/2014/main" id="{D2ECF66B-6DCD-4FF2-9FEC-621D08DD8A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34150" y="2209800"/>
          <a:ext cx="4419599" cy="355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161925</xdr:colOff>
      <xdr:row>26</xdr:row>
      <xdr:rowOff>323850</xdr:rowOff>
    </xdr:from>
    <xdr:to>
      <xdr:col>12</xdr:col>
      <xdr:colOff>9525</xdr:colOff>
      <xdr:row>45</xdr:row>
      <xdr:rowOff>41066</xdr:rowOff>
    </xdr:to>
    <xdr:pic>
      <xdr:nvPicPr>
        <xdr:cNvPr id="5" name="Imagen 4">
          <a:extLst>
            <a:ext uri="{FF2B5EF4-FFF2-40B4-BE49-F238E27FC236}">
              <a16:creationId xmlns:a16="http://schemas.microsoft.com/office/drawing/2014/main" id="{CC5E6D0A-2793-4163-B43E-D4E8FA7A23D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53200" y="5753100"/>
          <a:ext cx="4419600" cy="3574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142875</xdr:colOff>
      <xdr:row>45</xdr:row>
      <xdr:rowOff>114300</xdr:rowOff>
    </xdr:from>
    <xdr:to>
      <xdr:col>11</xdr:col>
      <xdr:colOff>752475</xdr:colOff>
      <xdr:row>64</xdr:row>
      <xdr:rowOff>69642</xdr:rowOff>
    </xdr:to>
    <xdr:pic>
      <xdr:nvPicPr>
        <xdr:cNvPr id="6" name="Imagen 5">
          <a:extLst>
            <a:ext uri="{FF2B5EF4-FFF2-40B4-BE49-F238E27FC236}">
              <a16:creationId xmlns:a16="http://schemas.microsoft.com/office/drawing/2014/main" id="{747292D3-07AA-4BC0-963E-B4567A080D5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34150" y="9401175"/>
          <a:ext cx="4419600" cy="3574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A559-B0D8-414D-A615-C6277F8B0A76}">
  <dimension ref="A1:J54"/>
  <sheetViews>
    <sheetView workbookViewId="0">
      <selection activeCell="C5" sqref="C5:C54"/>
    </sheetView>
  </sheetViews>
  <sheetFormatPr baseColWidth="10" defaultRowHeight="14.75" x14ac:dyDescent="0.75"/>
  <sheetData>
    <row r="1" spans="1:10" ht="22.75" x14ac:dyDescent="0.95">
      <c r="A1" s="5" t="s">
        <v>12</v>
      </c>
    </row>
    <row r="2" spans="1:10" x14ac:dyDescent="0.75">
      <c r="A2" s="4" t="s">
        <v>11</v>
      </c>
    </row>
    <row r="4" spans="1:10" x14ac:dyDescent="0.75">
      <c r="A4" s="3" t="s">
        <v>10</v>
      </c>
      <c r="B4" s="3" t="s">
        <v>9</v>
      </c>
      <c r="C4" s="3" t="s">
        <v>8</v>
      </c>
      <c r="E4" s="3" t="s">
        <v>7</v>
      </c>
      <c r="F4" s="3" t="s">
        <v>6</v>
      </c>
      <c r="G4" s="3" t="s">
        <v>5</v>
      </c>
      <c r="H4" s="3" t="s">
        <v>4</v>
      </c>
      <c r="J4" s="2" t="s">
        <v>3</v>
      </c>
    </row>
    <row r="5" spans="1:10" x14ac:dyDescent="0.75">
      <c r="A5">
        <v>1</v>
      </c>
      <c r="B5" s="1">
        <f ca="1">RAND()</f>
        <v>0.80446363311030789</v>
      </c>
      <c r="C5" s="1">
        <f ca="1">_xlfn.NORM.INV(B5,10,3)</f>
        <v>12.573020734008166</v>
      </c>
      <c r="E5">
        <v>0</v>
      </c>
      <c r="F5">
        <v>1</v>
      </c>
      <c r="G5" t="str">
        <f t="shared" ref="G5:G24" si="0">E5&amp;"-"&amp;F5</f>
        <v>0-1</v>
      </c>
      <c r="H5">
        <f t="shared" ref="H5:H24" ca="1" si="1">COUNTIFS($C$5:$C$54,"&gt;"&amp;E5,$C$5:$C$54,"&lt;="&amp;F5)</f>
        <v>0</v>
      </c>
      <c r="J5" t="s">
        <v>2</v>
      </c>
    </row>
    <row r="6" spans="1:10" x14ac:dyDescent="0.75">
      <c r="A6">
        <v>2</v>
      </c>
      <c r="B6" s="1">
        <f t="shared" ref="B6:B54" ca="1" si="2">RAND()</f>
        <v>0.99581188031586465</v>
      </c>
      <c r="C6" s="1">
        <f t="shared" ref="C6:C54" ca="1" si="3">_xlfn.NORM.INV(B6,10,3)</f>
        <v>17.909546252599426</v>
      </c>
      <c r="E6">
        <f t="shared" ref="E6:E24" si="4">E5+1</f>
        <v>1</v>
      </c>
      <c r="F6">
        <f t="shared" ref="F6:F24" si="5">F5+1</f>
        <v>2</v>
      </c>
      <c r="G6" t="str">
        <f t="shared" si="0"/>
        <v>1-2</v>
      </c>
      <c r="H6">
        <f t="shared" ca="1" si="1"/>
        <v>0</v>
      </c>
      <c r="J6" t="s">
        <v>1</v>
      </c>
    </row>
    <row r="7" spans="1:10" x14ac:dyDescent="0.75">
      <c r="A7">
        <v>3</v>
      </c>
      <c r="B7" s="1">
        <f t="shared" ca="1" si="2"/>
        <v>0.62601129577072379</v>
      </c>
      <c r="C7" s="1">
        <f t="shared" ca="1" si="3"/>
        <v>10.963922360931813</v>
      </c>
      <c r="E7">
        <f t="shared" si="4"/>
        <v>2</v>
      </c>
      <c r="F7">
        <f t="shared" si="5"/>
        <v>3</v>
      </c>
      <c r="G7" t="str">
        <f t="shared" si="0"/>
        <v>2-3</v>
      </c>
      <c r="H7">
        <f t="shared" ca="1" si="1"/>
        <v>0</v>
      </c>
      <c r="J7" t="s">
        <v>0</v>
      </c>
    </row>
    <row r="8" spans="1:10" x14ac:dyDescent="0.75">
      <c r="A8">
        <v>4</v>
      </c>
      <c r="B8" s="1">
        <f t="shared" ca="1" si="2"/>
        <v>0.3297694754218472</v>
      </c>
      <c r="C8" s="1">
        <f t="shared" ca="1" si="3"/>
        <v>8.6783505952682809</v>
      </c>
      <c r="E8">
        <f t="shared" si="4"/>
        <v>3</v>
      </c>
      <c r="F8">
        <f t="shared" si="5"/>
        <v>4</v>
      </c>
      <c r="G8" t="str">
        <f t="shared" si="0"/>
        <v>3-4</v>
      </c>
      <c r="H8">
        <f t="shared" ca="1" si="1"/>
        <v>0</v>
      </c>
    </row>
    <row r="9" spans="1:10" x14ac:dyDescent="0.75">
      <c r="A9">
        <v>5</v>
      </c>
      <c r="B9" s="1">
        <f t="shared" ca="1" si="2"/>
        <v>0.83184025721508725</v>
      </c>
      <c r="C9" s="1">
        <f t="shared" ca="1" si="3"/>
        <v>12.884388612656942</v>
      </c>
      <c r="E9">
        <f t="shared" si="4"/>
        <v>4</v>
      </c>
      <c r="F9">
        <f t="shared" si="5"/>
        <v>5</v>
      </c>
      <c r="G9" t="str">
        <f t="shared" si="0"/>
        <v>4-5</v>
      </c>
      <c r="H9">
        <f t="shared" ca="1" si="1"/>
        <v>2</v>
      </c>
    </row>
    <row r="10" spans="1:10" x14ac:dyDescent="0.75">
      <c r="A10">
        <v>6</v>
      </c>
      <c r="B10" s="1">
        <f t="shared" ca="1" si="2"/>
        <v>0.42660245704441591</v>
      </c>
      <c r="C10" s="1">
        <f t="shared" ca="1" si="3"/>
        <v>9.4449077389647336</v>
      </c>
      <c r="E10">
        <f t="shared" si="4"/>
        <v>5</v>
      </c>
      <c r="F10">
        <f t="shared" si="5"/>
        <v>6</v>
      </c>
      <c r="G10" t="str">
        <f t="shared" si="0"/>
        <v>5-6</v>
      </c>
      <c r="H10">
        <f t="shared" ca="1" si="1"/>
        <v>2</v>
      </c>
    </row>
    <row r="11" spans="1:10" x14ac:dyDescent="0.75">
      <c r="A11">
        <v>7</v>
      </c>
      <c r="B11" s="1">
        <f t="shared" ca="1" si="2"/>
        <v>0.97219417482135684</v>
      </c>
      <c r="C11" s="1">
        <f t="shared" ca="1" si="3"/>
        <v>15.742199709914132</v>
      </c>
      <c r="E11">
        <f t="shared" si="4"/>
        <v>6</v>
      </c>
      <c r="F11">
        <f t="shared" si="5"/>
        <v>7</v>
      </c>
      <c r="G11" t="str">
        <f t="shared" si="0"/>
        <v>6-7</v>
      </c>
      <c r="H11">
        <f t="shared" ca="1" si="1"/>
        <v>4</v>
      </c>
    </row>
    <row r="12" spans="1:10" x14ac:dyDescent="0.75">
      <c r="A12">
        <v>8</v>
      </c>
      <c r="B12" s="1">
        <f t="shared" ca="1" si="2"/>
        <v>0.24353172422896208</v>
      </c>
      <c r="C12" s="1">
        <f t="shared" ca="1" si="3"/>
        <v>7.9150389995027073</v>
      </c>
      <c r="E12">
        <f t="shared" si="4"/>
        <v>7</v>
      </c>
      <c r="F12">
        <f t="shared" si="5"/>
        <v>8</v>
      </c>
      <c r="G12" t="str">
        <f t="shared" si="0"/>
        <v>7-8</v>
      </c>
      <c r="H12">
        <f t="shared" ca="1" si="1"/>
        <v>4</v>
      </c>
    </row>
    <row r="13" spans="1:10" x14ac:dyDescent="0.75">
      <c r="A13">
        <v>9</v>
      </c>
      <c r="B13" s="1">
        <f t="shared" ca="1" si="2"/>
        <v>2.6928481111076819E-2</v>
      </c>
      <c r="C13" s="1">
        <f t="shared" ca="1" si="3"/>
        <v>4.2160442827869451</v>
      </c>
      <c r="E13">
        <f t="shared" si="4"/>
        <v>8</v>
      </c>
      <c r="F13">
        <f t="shared" si="5"/>
        <v>9</v>
      </c>
      <c r="G13" t="str">
        <f t="shared" si="0"/>
        <v>8-9</v>
      </c>
      <c r="H13">
        <f t="shared" ca="1" si="1"/>
        <v>7</v>
      </c>
    </row>
    <row r="14" spans="1:10" x14ac:dyDescent="0.75">
      <c r="A14">
        <v>10</v>
      </c>
      <c r="B14" s="1">
        <f t="shared" ca="1" si="2"/>
        <v>0.40010453431216142</v>
      </c>
      <c r="C14" s="1">
        <f t="shared" ca="1" si="3"/>
        <v>9.2407703853064866</v>
      </c>
      <c r="E14">
        <f t="shared" si="4"/>
        <v>9</v>
      </c>
      <c r="F14">
        <f t="shared" si="5"/>
        <v>10</v>
      </c>
      <c r="G14" t="str">
        <f t="shared" si="0"/>
        <v>9-10</v>
      </c>
      <c r="H14">
        <f t="shared" ca="1" si="1"/>
        <v>7</v>
      </c>
    </row>
    <row r="15" spans="1:10" x14ac:dyDescent="0.75">
      <c r="A15">
        <v>11</v>
      </c>
      <c r="B15" s="1">
        <f t="shared" ca="1" si="2"/>
        <v>0.26144206054520602</v>
      </c>
      <c r="C15" s="1">
        <f t="shared" ca="1" si="3"/>
        <v>8.083282168611758</v>
      </c>
      <c r="E15">
        <f t="shared" si="4"/>
        <v>10</v>
      </c>
      <c r="F15">
        <f t="shared" si="5"/>
        <v>11</v>
      </c>
      <c r="G15" t="str">
        <f t="shared" si="0"/>
        <v>10-11</v>
      </c>
      <c r="H15">
        <f t="shared" ca="1" si="1"/>
        <v>5</v>
      </c>
    </row>
    <row r="16" spans="1:10" x14ac:dyDescent="0.75">
      <c r="A16">
        <v>12</v>
      </c>
      <c r="B16" s="1">
        <f t="shared" ca="1" si="2"/>
        <v>0.84990312926263056</v>
      </c>
      <c r="C16" s="1">
        <f t="shared" ca="1" si="3"/>
        <v>13.108054023367984</v>
      </c>
      <c r="E16">
        <f t="shared" si="4"/>
        <v>11</v>
      </c>
      <c r="F16">
        <f t="shared" si="5"/>
        <v>12</v>
      </c>
      <c r="G16" t="str">
        <f t="shared" si="0"/>
        <v>11-12</v>
      </c>
      <c r="H16">
        <f t="shared" ca="1" si="1"/>
        <v>7</v>
      </c>
    </row>
    <row r="17" spans="1:8" x14ac:dyDescent="0.75">
      <c r="A17">
        <v>13</v>
      </c>
      <c r="B17" s="1">
        <f t="shared" ca="1" si="2"/>
        <v>0.67566136118703946</v>
      </c>
      <c r="C17" s="1">
        <f t="shared" ca="1" si="3"/>
        <v>11.366801524637847</v>
      </c>
      <c r="E17">
        <f t="shared" si="4"/>
        <v>12</v>
      </c>
      <c r="F17">
        <f t="shared" si="5"/>
        <v>13</v>
      </c>
      <c r="G17" t="str">
        <f t="shared" si="0"/>
        <v>12-13</v>
      </c>
      <c r="H17">
        <f t="shared" ca="1" si="1"/>
        <v>5</v>
      </c>
    </row>
    <row r="18" spans="1:8" x14ac:dyDescent="0.75">
      <c r="A18">
        <v>14</v>
      </c>
      <c r="B18" s="1">
        <f t="shared" ca="1" si="2"/>
        <v>0.77308345980018478</v>
      </c>
      <c r="C18" s="1">
        <f t="shared" ca="1" si="3"/>
        <v>12.247120081288783</v>
      </c>
      <c r="E18">
        <f t="shared" si="4"/>
        <v>13</v>
      </c>
      <c r="F18">
        <f t="shared" si="5"/>
        <v>14</v>
      </c>
      <c r="G18" t="str">
        <f t="shared" si="0"/>
        <v>13-14</v>
      </c>
      <c r="H18">
        <f t="shared" ca="1" si="1"/>
        <v>3</v>
      </c>
    </row>
    <row r="19" spans="1:8" x14ac:dyDescent="0.75">
      <c r="A19">
        <v>15</v>
      </c>
      <c r="B19" s="1">
        <f t="shared" ca="1" si="2"/>
        <v>0.14051387561656747</v>
      </c>
      <c r="C19" s="1">
        <f t="shared" ca="1" si="3"/>
        <v>6.765959632346064</v>
      </c>
      <c r="E19">
        <f t="shared" si="4"/>
        <v>14</v>
      </c>
      <c r="F19">
        <f t="shared" si="5"/>
        <v>15</v>
      </c>
      <c r="G19" t="str">
        <f t="shared" si="0"/>
        <v>14-15</v>
      </c>
      <c r="H19">
        <f t="shared" ca="1" si="1"/>
        <v>0</v>
      </c>
    </row>
    <row r="20" spans="1:8" x14ac:dyDescent="0.75">
      <c r="A20">
        <v>16</v>
      </c>
      <c r="B20" s="1">
        <f t="shared" ca="1" si="2"/>
        <v>0.97674900453642788</v>
      </c>
      <c r="C20" s="1">
        <f t="shared" ca="1" si="3"/>
        <v>15.972424234500687</v>
      </c>
      <c r="E20">
        <f t="shared" si="4"/>
        <v>15</v>
      </c>
      <c r="F20">
        <f t="shared" si="5"/>
        <v>16</v>
      </c>
      <c r="G20" t="str">
        <f t="shared" si="0"/>
        <v>15-16</v>
      </c>
      <c r="H20">
        <f t="shared" ca="1" si="1"/>
        <v>2</v>
      </c>
    </row>
    <row r="21" spans="1:8" x14ac:dyDescent="0.75">
      <c r="A21">
        <v>17</v>
      </c>
      <c r="B21" s="1">
        <f t="shared" ca="1" si="2"/>
        <v>0.24775802084668952</v>
      </c>
      <c r="C21" s="1">
        <f t="shared" ca="1" si="3"/>
        <v>7.9553144342517834</v>
      </c>
      <c r="E21">
        <f t="shared" si="4"/>
        <v>16</v>
      </c>
      <c r="F21">
        <f t="shared" si="5"/>
        <v>17</v>
      </c>
      <c r="G21" t="str">
        <f t="shared" si="0"/>
        <v>16-17</v>
      </c>
      <c r="H21">
        <f t="shared" ca="1" si="1"/>
        <v>1</v>
      </c>
    </row>
    <row r="22" spans="1:8" x14ac:dyDescent="0.75">
      <c r="A22">
        <v>18</v>
      </c>
      <c r="B22" s="1">
        <f t="shared" ca="1" si="2"/>
        <v>0.11623850427170324</v>
      </c>
      <c r="C22" s="1">
        <f t="shared" ca="1" si="3"/>
        <v>6.4179926412476069</v>
      </c>
      <c r="E22">
        <f t="shared" si="4"/>
        <v>17</v>
      </c>
      <c r="F22">
        <f t="shared" si="5"/>
        <v>18</v>
      </c>
      <c r="G22" t="str">
        <f t="shared" si="0"/>
        <v>17-18</v>
      </c>
      <c r="H22">
        <f t="shared" ca="1" si="1"/>
        <v>1</v>
      </c>
    </row>
    <row r="23" spans="1:8" x14ac:dyDescent="0.75">
      <c r="A23">
        <v>19</v>
      </c>
      <c r="B23" s="1">
        <f t="shared" ca="1" si="2"/>
        <v>0.7790234689866784</v>
      </c>
      <c r="C23" s="1">
        <f t="shared" ca="1" si="3"/>
        <v>12.306698056584736</v>
      </c>
      <c r="E23">
        <f t="shared" si="4"/>
        <v>18</v>
      </c>
      <c r="F23">
        <f t="shared" si="5"/>
        <v>19</v>
      </c>
      <c r="G23" t="str">
        <f t="shared" si="0"/>
        <v>18-19</v>
      </c>
      <c r="H23">
        <f t="shared" ca="1" si="1"/>
        <v>0</v>
      </c>
    </row>
    <row r="24" spans="1:8" x14ac:dyDescent="0.75">
      <c r="A24">
        <v>20</v>
      </c>
      <c r="B24" s="1">
        <f t="shared" ca="1" si="2"/>
        <v>0.51698791097209473</v>
      </c>
      <c r="C24" s="1">
        <f t="shared" ca="1" si="3"/>
        <v>10.12778576486733</v>
      </c>
      <c r="E24">
        <f t="shared" si="4"/>
        <v>19</v>
      </c>
      <c r="F24">
        <f t="shared" si="5"/>
        <v>20</v>
      </c>
      <c r="G24" t="str">
        <f t="shared" si="0"/>
        <v>19-20</v>
      </c>
      <c r="H24">
        <f t="shared" ca="1" si="1"/>
        <v>0</v>
      </c>
    </row>
    <row r="25" spans="1:8" x14ac:dyDescent="0.75">
      <c r="A25">
        <v>21</v>
      </c>
      <c r="B25" s="1">
        <f t="shared" ca="1" si="2"/>
        <v>0.98822987864127942</v>
      </c>
      <c r="C25" s="1">
        <f t="shared" ca="1" si="3"/>
        <v>16.793653196445678</v>
      </c>
    </row>
    <row r="26" spans="1:8" x14ac:dyDescent="0.75">
      <c r="A26">
        <v>22</v>
      </c>
      <c r="B26" s="1">
        <f t="shared" ca="1" si="2"/>
        <v>4.5014045255536872E-2</v>
      </c>
      <c r="C26" s="1">
        <f t="shared" ca="1" si="3"/>
        <v>4.914251345415253</v>
      </c>
    </row>
    <row r="27" spans="1:8" x14ac:dyDescent="0.75">
      <c r="A27">
        <v>23</v>
      </c>
      <c r="B27" s="1">
        <f t="shared" ca="1" si="2"/>
        <v>0.41323591487625311</v>
      </c>
      <c r="C27" s="1">
        <f t="shared" ca="1" si="3"/>
        <v>9.3423136300273093</v>
      </c>
    </row>
    <row r="28" spans="1:8" x14ac:dyDescent="0.75">
      <c r="A28">
        <v>24</v>
      </c>
      <c r="B28" s="1">
        <f t="shared" ca="1" si="2"/>
        <v>0.56951126946921737</v>
      </c>
      <c r="C28" s="1">
        <f t="shared" ca="1" si="3"/>
        <v>10.525390095003889</v>
      </c>
    </row>
    <row r="29" spans="1:8" x14ac:dyDescent="0.75">
      <c r="A29">
        <v>25</v>
      </c>
      <c r="B29" s="1">
        <f t="shared" ca="1" si="2"/>
        <v>0.27382963598155707</v>
      </c>
      <c r="C29" s="1">
        <f t="shared" ca="1" si="3"/>
        <v>8.1961859651097146</v>
      </c>
    </row>
    <row r="30" spans="1:8" x14ac:dyDescent="0.75">
      <c r="A30">
        <v>26</v>
      </c>
      <c r="B30" s="1">
        <f t="shared" ca="1" si="2"/>
        <v>9.9781623990104262E-2</v>
      </c>
      <c r="C30" s="1">
        <f t="shared" ca="1" si="3"/>
        <v>6.1516093641061769</v>
      </c>
    </row>
    <row r="31" spans="1:8" x14ac:dyDescent="0.75">
      <c r="A31">
        <v>27</v>
      </c>
      <c r="B31" s="1">
        <f t="shared" ca="1" si="2"/>
        <v>0.52138499995366427</v>
      </c>
      <c r="C31" s="1">
        <f t="shared" ca="1" si="3"/>
        <v>10.160889827784358</v>
      </c>
    </row>
    <row r="32" spans="1:8" x14ac:dyDescent="0.75">
      <c r="A32">
        <v>28</v>
      </c>
      <c r="B32" s="1">
        <f t="shared" ca="1" si="2"/>
        <v>0.87978139812127343</v>
      </c>
      <c r="C32" s="1">
        <f t="shared" ca="1" si="3"/>
        <v>13.521684113898743</v>
      </c>
    </row>
    <row r="33" spans="1:3" x14ac:dyDescent="0.75">
      <c r="A33">
        <v>29</v>
      </c>
      <c r="B33" s="1">
        <f t="shared" ca="1" si="2"/>
        <v>0.36775381701181364</v>
      </c>
      <c r="C33" s="1">
        <f t="shared" ca="1" si="3"/>
        <v>8.9865750176265582</v>
      </c>
    </row>
    <row r="34" spans="1:3" x14ac:dyDescent="0.75">
      <c r="A34">
        <v>30</v>
      </c>
      <c r="B34" s="1">
        <f t="shared" ca="1" si="2"/>
        <v>0.72021518658689465</v>
      </c>
      <c r="C34" s="1">
        <f t="shared" ca="1" si="3"/>
        <v>11.750442630305313</v>
      </c>
    </row>
    <row r="35" spans="1:3" x14ac:dyDescent="0.75">
      <c r="A35">
        <v>31</v>
      </c>
      <c r="B35" s="1">
        <f t="shared" ca="1" si="2"/>
        <v>8.4186447455261826E-2</v>
      </c>
      <c r="C35" s="1">
        <f t="shared" ca="1" si="3"/>
        <v>5.8676473940323532</v>
      </c>
    </row>
    <row r="36" spans="1:3" x14ac:dyDescent="0.75">
      <c r="A36">
        <v>32</v>
      </c>
      <c r="B36" s="1">
        <f t="shared" ca="1" si="2"/>
        <v>0.48990723663156788</v>
      </c>
      <c r="C36" s="1">
        <f t="shared" ca="1" si="3"/>
        <v>9.9240954841083155</v>
      </c>
    </row>
    <row r="37" spans="1:3" x14ac:dyDescent="0.75">
      <c r="A37">
        <v>33</v>
      </c>
      <c r="B37" s="1">
        <f t="shared" ca="1" si="2"/>
        <v>0.23576288277918656</v>
      </c>
      <c r="C37" s="1">
        <f t="shared" ca="1" si="3"/>
        <v>7.8400037518095083</v>
      </c>
    </row>
    <row r="38" spans="1:3" x14ac:dyDescent="0.75">
      <c r="A38">
        <v>34</v>
      </c>
      <c r="B38" s="1">
        <f t="shared" ca="1" si="2"/>
        <v>0.73594184631542525</v>
      </c>
      <c r="C38" s="1">
        <f t="shared" ca="1" si="3"/>
        <v>11.892652306731843</v>
      </c>
    </row>
    <row r="39" spans="1:3" x14ac:dyDescent="0.75">
      <c r="A39">
        <v>35</v>
      </c>
      <c r="B39" s="1">
        <f t="shared" ca="1" si="2"/>
        <v>0.74095834466553634</v>
      </c>
      <c r="C39" s="1">
        <f t="shared" ca="1" si="3"/>
        <v>11.938908234269052</v>
      </c>
    </row>
    <row r="40" spans="1:3" x14ac:dyDescent="0.75">
      <c r="A40">
        <v>36</v>
      </c>
      <c r="B40" s="1">
        <f t="shared" ca="1" si="2"/>
        <v>0.33549184026522727</v>
      </c>
      <c r="C40" s="1">
        <f t="shared" ca="1" si="3"/>
        <v>8.7256049496743788</v>
      </c>
    </row>
    <row r="41" spans="1:3" x14ac:dyDescent="0.75">
      <c r="A41">
        <v>37</v>
      </c>
      <c r="B41" s="1">
        <f t="shared" ca="1" si="2"/>
        <v>0.69564071568617047</v>
      </c>
      <c r="C41" s="1">
        <f t="shared" ca="1" si="3"/>
        <v>11.535710413765889</v>
      </c>
    </row>
    <row r="42" spans="1:3" x14ac:dyDescent="0.75">
      <c r="A42">
        <v>38</v>
      </c>
      <c r="B42" s="1">
        <f t="shared" ca="1" si="2"/>
        <v>0.67090540646303687</v>
      </c>
      <c r="C42" s="1">
        <f t="shared" ca="1" si="3"/>
        <v>11.327243919574464</v>
      </c>
    </row>
    <row r="43" spans="1:3" x14ac:dyDescent="0.75">
      <c r="A43">
        <v>39</v>
      </c>
      <c r="B43" s="1">
        <f t="shared" ca="1" si="2"/>
        <v>0.89756215803115857</v>
      </c>
      <c r="C43" s="1">
        <f t="shared" ca="1" si="3"/>
        <v>13.803347074950006</v>
      </c>
    </row>
    <row r="44" spans="1:3" x14ac:dyDescent="0.75">
      <c r="A44">
        <v>40</v>
      </c>
      <c r="B44" s="1">
        <f t="shared" ca="1" si="2"/>
        <v>0.3186775725701424</v>
      </c>
      <c r="C44" s="1">
        <f t="shared" ca="1" si="3"/>
        <v>8.5858001225051979</v>
      </c>
    </row>
    <row r="45" spans="1:3" x14ac:dyDescent="0.75">
      <c r="A45">
        <v>41</v>
      </c>
      <c r="B45" s="1">
        <f t="shared" ca="1" si="2"/>
        <v>0.48718581230271996</v>
      </c>
      <c r="C45" s="1">
        <f t="shared" ca="1" si="3"/>
        <v>9.9036222087795736</v>
      </c>
    </row>
    <row r="46" spans="1:3" x14ac:dyDescent="0.75">
      <c r="A46">
        <v>42</v>
      </c>
      <c r="B46" s="1">
        <f t="shared" ca="1" si="2"/>
        <v>0.40722365934427984</v>
      </c>
      <c r="C46" s="1">
        <f t="shared" ca="1" si="3"/>
        <v>9.2959221497611448</v>
      </c>
    </row>
    <row r="47" spans="1:3" x14ac:dyDescent="0.75">
      <c r="A47">
        <v>43</v>
      </c>
      <c r="B47" s="1">
        <f t="shared" ca="1" si="2"/>
        <v>0.63022164541876036</v>
      </c>
      <c r="C47" s="1">
        <f t="shared" ca="1" si="3"/>
        <v>10.997321309463436</v>
      </c>
    </row>
    <row r="48" spans="1:3" x14ac:dyDescent="0.75">
      <c r="A48">
        <v>44</v>
      </c>
      <c r="B48" s="1">
        <f t="shared" ca="1" si="2"/>
        <v>0.13719978550583001</v>
      </c>
      <c r="C48" s="1">
        <f t="shared" ca="1" si="3"/>
        <v>6.7210394333531713</v>
      </c>
    </row>
    <row r="49" spans="1:3" x14ac:dyDescent="0.75">
      <c r="A49">
        <v>45</v>
      </c>
      <c r="B49" s="1">
        <f t="shared" ca="1" si="2"/>
        <v>0.37864651983621445</v>
      </c>
      <c r="C49" s="1">
        <f t="shared" ca="1" si="3"/>
        <v>9.0728876517988652</v>
      </c>
    </row>
    <row r="50" spans="1:3" x14ac:dyDescent="0.75">
      <c r="A50">
        <v>46</v>
      </c>
      <c r="B50" s="1">
        <f t="shared" ca="1" si="2"/>
        <v>0.82401948816786585</v>
      </c>
      <c r="C50" s="1">
        <f t="shared" ca="1" si="3"/>
        <v>12.79237684115445</v>
      </c>
    </row>
    <row r="51" spans="1:3" x14ac:dyDescent="0.75">
      <c r="A51">
        <v>47</v>
      </c>
      <c r="B51" s="1">
        <f t="shared" ca="1" si="2"/>
        <v>0.24160025341071889</v>
      </c>
      <c r="C51" s="1">
        <f t="shared" ca="1" si="3"/>
        <v>7.8965071985484458</v>
      </c>
    </row>
    <row r="52" spans="1:3" x14ac:dyDescent="0.75">
      <c r="A52">
        <v>48</v>
      </c>
      <c r="B52" s="1">
        <f t="shared" ca="1" si="2"/>
        <v>8.7486070365382362E-2</v>
      </c>
      <c r="C52" s="1">
        <f t="shared" ca="1" si="3"/>
        <v>5.9308019570886259</v>
      </c>
    </row>
    <row r="53" spans="1:3" x14ac:dyDescent="0.75">
      <c r="A53">
        <v>49</v>
      </c>
      <c r="B53" s="1">
        <f t="shared" ca="1" si="2"/>
        <v>0.34139358219164817</v>
      </c>
      <c r="C53" s="1">
        <f t="shared" ca="1" si="3"/>
        <v>8.7740117116184724</v>
      </c>
    </row>
    <row r="54" spans="1:3" x14ac:dyDescent="0.75">
      <c r="A54">
        <v>50</v>
      </c>
      <c r="B54" s="1">
        <f t="shared" ca="1" si="2"/>
        <v>0.71344299528323485</v>
      </c>
      <c r="C54" s="1">
        <f t="shared" ca="1" si="3"/>
        <v>11.690413848847989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117B-52E1-4963-9741-FBB6641E692F}">
  <dimension ref="A1:G78"/>
  <sheetViews>
    <sheetView tabSelected="1" zoomScale="145" zoomScaleNormal="145" workbookViewId="0">
      <selection activeCell="B33" sqref="B33"/>
    </sheetView>
  </sheetViews>
  <sheetFormatPr baseColWidth="10" defaultRowHeight="14.75" x14ac:dyDescent="0.75"/>
  <cols>
    <col min="1" max="1" width="20.86328125" customWidth="1"/>
    <col min="6" max="6" width="16.54296875" customWidth="1"/>
  </cols>
  <sheetData>
    <row r="1" spans="1:7" ht="22.75" x14ac:dyDescent="0.95">
      <c r="A1" s="23" t="s">
        <v>77</v>
      </c>
      <c r="B1" s="23"/>
      <c r="C1" s="23"/>
      <c r="D1" s="23"/>
    </row>
    <row r="3" spans="1:7" x14ac:dyDescent="0.75">
      <c r="A3" t="s">
        <v>76</v>
      </c>
    </row>
    <row r="4" spans="1:7" x14ac:dyDescent="0.75">
      <c r="A4" t="s">
        <v>75</v>
      </c>
    </row>
    <row r="5" spans="1:7" x14ac:dyDescent="0.75">
      <c r="B5" t="s">
        <v>74</v>
      </c>
    </row>
    <row r="6" spans="1:7" x14ac:dyDescent="0.75">
      <c r="B6" t="s">
        <v>73</v>
      </c>
    </row>
    <row r="7" spans="1:7" x14ac:dyDescent="0.75">
      <c r="B7" t="s">
        <v>72</v>
      </c>
    </row>
    <row r="8" spans="1:7" x14ac:dyDescent="0.75">
      <c r="A8" t="s">
        <v>71</v>
      </c>
    </row>
    <row r="9" spans="1:7" x14ac:dyDescent="0.75">
      <c r="B9" s="26" t="s">
        <v>70</v>
      </c>
      <c r="C9" s="26"/>
      <c r="D9" s="26" t="s">
        <v>69</v>
      </c>
      <c r="E9" s="26"/>
      <c r="F9" s="26" t="s">
        <v>68</v>
      </c>
      <c r="G9" s="26"/>
    </row>
    <row r="10" spans="1:7" x14ac:dyDescent="0.75">
      <c r="B10" s="25" t="b">
        <v>1</v>
      </c>
      <c r="C10" s="25"/>
      <c r="D10" s="25" t="s">
        <v>67</v>
      </c>
      <c r="E10" s="25"/>
      <c r="F10" s="25" t="s">
        <v>66</v>
      </c>
      <c r="G10" s="25"/>
    </row>
    <row r="11" spans="1:7" x14ac:dyDescent="0.75">
      <c r="B11" s="25" t="b">
        <v>0</v>
      </c>
      <c r="C11" s="25"/>
      <c r="D11" s="25" t="s">
        <v>65</v>
      </c>
      <c r="E11" s="25"/>
      <c r="F11" s="25" t="s">
        <v>64</v>
      </c>
      <c r="G11" s="25"/>
    </row>
    <row r="13" spans="1:7" x14ac:dyDescent="0.75">
      <c r="A13" s="4" t="s">
        <v>63</v>
      </c>
    </row>
    <row r="15" spans="1:7" x14ac:dyDescent="0.75">
      <c r="A15" s="6" t="s">
        <v>45</v>
      </c>
      <c r="B15" s="7">
        <v>2</v>
      </c>
    </row>
    <row r="16" spans="1:7" x14ac:dyDescent="0.75">
      <c r="A16" s="6" t="s">
        <v>43</v>
      </c>
      <c r="B16" s="7">
        <v>3</v>
      </c>
    </row>
    <row r="17" spans="1:5" x14ac:dyDescent="0.75">
      <c r="A17" s="6" t="s">
        <v>62</v>
      </c>
      <c r="B17" s="7">
        <v>5</v>
      </c>
    </row>
    <row r="18" spans="1:5" x14ac:dyDescent="0.75">
      <c r="A18" s="6" t="s">
        <v>10</v>
      </c>
      <c r="B18" s="7">
        <v>8</v>
      </c>
    </row>
    <row r="19" spans="1:5" x14ac:dyDescent="0.75">
      <c r="A19" s="6" t="s">
        <v>61</v>
      </c>
      <c r="B19" s="7">
        <v>0.2</v>
      </c>
    </row>
    <row r="21" spans="1:5" x14ac:dyDescent="0.75">
      <c r="A21" t="s">
        <v>60</v>
      </c>
      <c r="D21" t="s">
        <v>59</v>
      </c>
    </row>
    <row r="22" spans="1:5" x14ac:dyDescent="0.75">
      <c r="A22" s="8" t="s">
        <v>58</v>
      </c>
      <c r="D22" t="s">
        <v>21</v>
      </c>
    </row>
    <row r="23" spans="1:5" x14ac:dyDescent="0.75">
      <c r="E23" t="s">
        <v>57</v>
      </c>
    </row>
    <row r="24" spans="1:5" x14ac:dyDescent="0.75">
      <c r="A24" s="6" t="s">
        <v>41</v>
      </c>
      <c r="B24" s="1">
        <f>_xlfn.BINOM.DIST(B15,B18,B19,FALSE)</f>
        <v>0.29360128000000002</v>
      </c>
      <c r="E24" t="s">
        <v>56</v>
      </c>
    </row>
    <row r="25" spans="1:5" x14ac:dyDescent="0.75">
      <c r="A25" s="6" t="s">
        <v>40</v>
      </c>
      <c r="B25" s="1">
        <f>_xlfn.BINOM.DIST(B15,B18,B19,TRUE)</f>
        <v>0.79691775999999992</v>
      </c>
      <c r="E25" t="s">
        <v>55</v>
      </c>
    </row>
    <row r="26" spans="1:5" x14ac:dyDescent="0.75">
      <c r="A26" s="6" t="s">
        <v>39</v>
      </c>
      <c r="B26" s="1">
        <f>_xlfn.BINOM.DIST(B16,$B$18,$B$19,TRUE)</f>
        <v>0.94371840000000007</v>
      </c>
    </row>
    <row r="27" spans="1:5" x14ac:dyDescent="0.75">
      <c r="A27" s="6" t="s">
        <v>54</v>
      </c>
      <c r="B27" s="1">
        <f>_xlfn.BINOM.DIST(B17,$B$18,$B$19,TRUE)</f>
        <v>0.99876863999999999</v>
      </c>
    </row>
    <row r="28" spans="1:5" x14ac:dyDescent="0.75">
      <c r="A28" s="6" t="s">
        <v>53</v>
      </c>
      <c r="B28" s="1">
        <f>_xlfn.BINOM.DIST(B15-1,$B$18,$B$19,TRUE)</f>
        <v>0.50331648000000007</v>
      </c>
    </row>
    <row r="29" spans="1:5" x14ac:dyDescent="0.75">
      <c r="A29" s="6" t="s">
        <v>52</v>
      </c>
      <c r="B29" s="1">
        <f>1-B25</f>
        <v>0.20308224000000008</v>
      </c>
    </row>
    <row r="30" spans="1:5" x14ac:dyDescent="0.75">
      <c r="A30" s="6" t="s">
        <v>38</v>
      </c>
      <c r="B30" s="1">
        <f>1-B28</f>
        <v>0.49668351999999993</v>
      </c>
    </row>
    <row r="31" spans="1:5" x14ac:dyDescent="0.75">
      <c r="A31" s="6" t="s">
        <v>51</v>
      </c>
      <c r="B31" s="1">
        <f>B27-B28</f>
        <v>0.49545215999999992</v>
      </c>
    </row>
    <row r="32" spans="1:5" x14ac:dyDescent="0.75">
      <c r="A32" s="6" t="s">
        <v>50</v>
      </c>
      <c r="B32" s="1">
        <f>(B26-_xlfn.BINOM.DIST(B16,B18,B19,FALSE))/B27</f>
        <v>0.7979002624671917</v>
      </c>
    </row>
    <row r="33" spans="1:5" x14ac:dyDescent="0.75">
      <c r="A33" s="6" t="s">
        <v>49</v>
      </c>
      <c r="B33" s="1">
        <f>(B27-B26)/B31</f>
        <v>0.11111111111111097</v>
      </c>
    </row>
    <row r="34" spans="1:5" x14ac:dyDescent="0.75">
      <c r="A34" s="6" t="s">
        <v>48</v>
      </c>
      <c r="B34" s="1">
        <f>(1-(_xlfn.BINOM.DIST(B17-1,B18,B19,TRUE)))/B29</f>
        <v>5.1242294747191691E-2</v>
      </c>
    </row>
    <row r="36" spans="1:5" x14ac:dyDescent="0.75">
      <c r="A36" s="4" t="s">
        <v>47</v>
      </c>
      <c r="D36" t="s">
        <v>46</v>
      </c>
    </row>
    <row r="37" spans="1:5" x14ac:dyDescent="0.75">
      <c r="D37" t="s">
        <v>21</v>
      </c>
    </row>
    <row r="38" spans="1:5" x14ac:dyDescent="0.75">
      <c r="A38" s="6" t="s">
        <v>45</v>
      </c>
      <c r="B38" s="7">
        <v>2</v>
      </c>
      <c r="E38" t="s">
        <v>44</v>
      </c>
    </row>
    <row r="39" spans="1:5" x14ac:dyDescent="0.75">
      <c r="A39" s="6" t="s">
        <v>43</v>
      </c>
      <c r="B39" s="7">
        <v>4</v>
      </c>
    </row>
    <row r="40" spans="1:5" x14ac:dyDescent="0.75">
      <c r="A40" s="6" t="s">
        <v>42</v>
      </c>
      <c r="B40" s="7">
        <v>2.5</v>
      </c>
    </row>
    <row r="41" spans="1:5" x14ac:dyDescent="0.75">
      <c r="A41" s="6" t="s">
        <v>41</v>
      </c>
      <c r="B41" s="1">
        <f>_xlfn.POISSON.DIST($B$38,$B$40,FALSE)</f>
        <v>0.25651562069968376</v>
      </c>
    </row>
    <row r="42" spans="1:5" x14ac:dyDescent="0.75">
      <c r="A42" s="6" t="s">
        <v>40</v>
      </c>
      <c r="B42" s="1">
        <f>_xlfn.POISSON.DIST($B$38,$B$40,TRUE)</f>
        <v>0.54381311588332959</v>
      </c>
    </row>
    <row r="43" spans="1:5" x14ac:dyDescent="0.75">
      <c r="A43" s="6" t="s">
        <v>39</v>
      </c>
      <c r="B43" s="1">
        <f>_xlfn.POISSON.DIST($B$39,$B$40,TRUE)</f>
        <v>0.89117801891415127</v>
      </c>
    </row>
    <row r="44" spans="1:5" x14ac:dyDescent="0.75">
      <c r="A44" s="6" t="s">
        <v>38</v>
      </c>
      <c r="B44" s="1">
        <f>1-B42+B41</f>
        <v>0.71270250481635422</v>
      </c>
    </row>
    <row r="45" spans="1:5" x14ac:dyDescent="0.75">
      <c r="A45" s="6" t="s">
        <v>37</v>
      </c>
      <c r="B45" s="1">
        <f>B43-B42+B41</f>
        <v>0.60388052373050538</v>
      </c>
    </row>
    <row r="46" spans="1:5" x14ac:dyDescent="0.75">
      <c r="A46" s="6" t="s">
        <v>36</v>
      </c>
      <c r="B46" s="1">
        <f>B45/B44</f>
        <v>0.84731079187958014</v>
      </c>
    </row>
    <row r="48" spans="1:5" x14ac:dyDescent="0.75">
      <c r="A48" s="4" t="s">
        <v>35</v>
      </c>
      <c r="D48" t="s">
        <v>34</v>
      </c>
    </row>
    <row r="49" spans="1:5" x14ac:dyDescent="0.75">
      <c r="D49" t="s">
        <v>21</v>
      </c>
    </row>
    <row r="50" spans="1:5" x14ac:dyDescent="0.75">
      <c r="A50" s="6" t="s">
        <v>20</v>
      </c>
      <c r="B50" s="7">
        <v>7</v>
      </c>
      <c r="E50" t="s">
        <v>31</v>
      </c>
    </row>
    <row r="51" spans="1:5" x14ac:dyDescent="0.75">
      <c r="A51" s="6" t="s">
        <v>19</v>
      </c>
      <c r="B51" s="7">
        <v>10</v>
      </c>
      <c r="E51" t="s">
        <v>33</v>
      </c>
    </row>
    <row r="52" spans="1:5" x14ac:dyDescent="0.75">
      <c r="A52" s="6" t="s">
        <v>32</v>
      </c>
      <c r="B52" s="7">
        <v>12</v>
      </c>
    </row>
    <row r="53" spans="1:5" x14ac:dyDescent="0.75">
      <c r="A53" s="6" t="s">
        <v>31</v>
      </c>
      <c r="B53" s="7">
        <v>10</v>
      </c>
    </row>
    <row r="54" spans="1:5" x14ac:dyDescent="0.75">
      <c r="A54" s="6" t="s">
        <v>30</v>
      </c>
      <c r="B54" s="7">
        <v>3</v>
      </c>
    </row>
    <row r="56" spans="1:5" x14ac:dyDescent="0.75">
      <c r="A56" s="6" t="s">
        <v>17</v>
      </c>
      <c r="B56" s="1">
        <f>_xlfn.NORM.DIST(B50,$B$53,$B$54,FALSE)</f>
        <v>8.0656908173047798E-2</v>
      </c>
    </row>
    <row r="57" spans="1:5" x14ac:dyDescent="0.75">
      <c r="A57" s="6" t="s">
        <v>16</v>
      </c>
      <c r="B57" s="1">
        <f>_xlfn.NORM.DIST(B50,$B$53,$B$54,TRUE)</f>
        <v>0.15865525393145699</v>
      </c>
    </row>
    <row r="58" spans="1:5" x14ac:dyDescent="0.75">
      <c r="A58" s="6" t="s">
        <v>15</v>
      </c>
      <c r="B58" s="1">
        <f>_xlfn.NORM.DIST(B51,$B$53,$B$54,TRUE)</f>
        <v>0.5</v>
      </c>
    </row>
    <row r="59" spans="1:5" x14ac:dyDescent="0.75">
      <c r="A59" s="6" t="s">
        <v>29</v>
      </c>
      <c r="B59" s="1">
        <f>_xlfn.NORM.DIST(B52,$B$53,$B$54,TRUE)</f>
        <v>0.74750746245307709</v>
      </c>
    </row>
    <row r="60" spans="1:5" x14ac:dyDescent="0.75">
      <c r="A60" s="6" t="s">
        <v>14</v>
      </c>
      <c r="B60" s="1">
        <f>B57</f>
        <v>0.15865525393145699</v>
      </c>
    </row>
    <row r="61" spans="1:5" x14ac:dyDescent="0.75">
      <c r="A61" s="6" t="s">
        <v>28</v>
      </c>
      <c r="B61" s="1">
        <f>B60</f>
        <v>0.15865525393145699</v>
      </c>
    </row>
    <row r="62" spans="1:5" x14ac:dyDescent="0.75">
      <c r="A62" s="6" t="s">
        <v>27</v>
      </c>
      <c r="B62" s="1">
        <f>1-B58</f>
        <v>0.5</v>
      </c>
    </row>
    <row r="63" spans="1:5" x14ac:dyDescent="0.75">
      <c r="A63" s="6" t="s">
        <v>13</v>
      </c>
      <c r="B63" s="1">
        <f>B59-B57</f>
        <v>0.58885220852162012</v>
      </c>
    </row>
    <row r="64" spans="1:5" x14ac:dyDescent="0.75">
      <c r="A64" s="6" t="s">
        <v>26</v>
      </c>
      <c r="B64" s="1">
        <f>(B59-B58)/B59</f>
        <v>0.33111035659876609</v>
      </c>
    </row>
    <row r="65" spans="1:5" x14ac:dyDescent="0.75">
      <c r="A65" s="6" t="s">
        <v>25</v>
      </c>
      <c r="B65" s="1">
        <f>(1-B58)/(1-B57)</f>
        <v>0.59428670867253008</v>
      </c>
    </row>
    <row r="66" spans="1:5" x14ac:dyDescent="0.75">
      <c r="A66" s="6" t="s">
        <v>24</v>
      </c>
      <c r="B66" s="1">
        <f>(B58-B57)/B63</f>
        <v>0.57967812827861764</v>
      </c>
    </row>
    <row r="68" spans="1:5" x14ac:dyDescent="0.75">
      <c r="A68" s="4" t="s">
        <v>23</v>
      </c>
      <c r="D68" t="s">
        <v>22</v>
      </c>
    </row>
    <row r="69" spans="1:5" x14ac:dyDescent="0.75">
      <c r="D69" t="s">
        <v>21</v>
      </c>
    </row>
    <row r="70" spans="1:5" x14ac:dyDescent="0.75">
      <c r="A70" s="6" t="s">
        <v>20</v>
      </c>
      <c r="B70" s="7">
        <v>1</v>
      </c>
      <c r="E70" t="s">
        <v>18</v>
      </c>
    </row>
    <row r="71" spans="1:5" x14ac:dyDescent="0.75">
      <c r="A71" s="6" t="s">
        <v>19</v>
      </c>
      <c r="B71" s="7">
        <v>2</v>
      </c>
    </row>
    <row r="72" spans="1:5" x14ac:dyDescent="0.75">
      <c r="A72" s="6" t="s">
        <v>18</v>
      </c>
      <c r="B72" s="7">
        <v>0.5</v>
      </c>
    </row>
    <row r="74" spans="1:5" x14ac:dyDescent="0.75">
      <c r="A74" s="6" t="s">
        <v>17</v>
      </c>
      <c r="B74" s="1">
        <f>_xlfn.EXPON.DIST(B70,$B$72,FALSE)</f>
        <v>0.30326532985631671</v>
      </c>
    </row>
    <row r="75" spans="1:5" x14ac:dyDescent="0.75">
      <c r="A75" s="6" t="s">
        <v>16</v>
      </c>
      <c r="B75" s="1">
        <f>_xlfn.EXPON.DIST(B70,$B$72,TRUE)</f>
        <v>0.39346934028736658</v>
      </c>
    </row>
    <row r="76" spans="1:5" x14ac:dyDescent="0.75">
      <c r="A76" s="6" t="s">
        <v>15</v>
      </c>
      <c r="B76" s="1">
        <f>_xlfn.EXPON.DIST(B71,$B$72,TRUE)</f>
        <v>0.63212055882855767</v>
      </c>
    </row>
    <row r="77" spans="1:5" x14ac:dyDescent="0.75">
      <c r="A77" s="6" t="s">
        <v>14</v>
      </c>
      <c r="B77" s="1">
        <f>B75</f>
        <v>0.39346934028736658</v>
      </c>
    </row>
    <row r="78" spans="1:5" x14ac:dyDescent="0.75">
      <c r="A78" s="6" t="s">
        <v>107</v>
      </c>
      <c r="B78" s="1">
        <f>B76-B75</f>
        <v>0.23865121854119109</v>
      </c>
    </row>
  </sheetData>
  <mergeCells count="10">
    <mergeCell ref="B11:C11"/>
    <mergeCell ref="D11:E11"/>
    <mergeCell ref="F11:G11"/>
    <mergeCell ref="A1:D1"/>
    <mergeCell ref="B9:C9"/>
    <mergeCell ref="D9:E9"/>
    <mergeCell ref="F9:G9"/>
    <mergeCell ref="B10:C10"/>
    <mergeCell ref="D10:E10"/>
    <mergeCell ref="F10:G1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EE15-6173-4C5A-8E1C-8035C486ACA3}">
  <dimension ref="A1:E129"/>
  <sheetViews>
    <sheetView topLeftCell="A21" zoomScale="130" zoomScaleNormal="130" workbookViewId="0">
      <selection activeCell="E25" sqref="E25"/>
    </sheetView>
  </sheetViews>
  <sheetFormatPr baseColWidth="10" defaultRowHeight="14.75" x14ac:dyDescent="0.75"/>
  <cols>
    <col min="2" max="2" width="11.86328125" bestFit="1" customWidth="1"/>
  </cols>
  <sheetData>
    <row r="1" spans="1:5" ht="22.75" x14ac:dyDescent="0.95">
      <c r="A1" s="23" t="s">
        <v>78</v>
      </c>
      <c r="B1" s="23"/>
      <c r="C1" s="23"/>
      <c r="D1" s="23"/>
    </row>
    <row r="3" spans="1:5" x14ac:dyDescent="0.75">
      <c r="A3" s="4" t="s">
        <v>79</v>
      </c>
    </row>
    <row r="5" spans="1:5" ht="15.5" thickBot="1" x14ac:dyDescent="0.9">
      <c r="A5" s="24" t="s">
        <v>80</v>
      </c>
      <c r="B5" s="24"/>
      <c r="D5" s="24" t="s">
        <v>81</v>
      </c>
      <c r="E5" s="24"/>
    </row>
    <row r="6" spans="1:5" x14ac:dyDescent="0.75">
      <c r="A6" s="6" t="s">
        <v>10</v>
      </c>
      <c r="B6" s="7">
        <v>80</v>
      </c>
      <c r="D6" s="6" t="s">
        <v>31</v>
      </c>
      <c r="E6" s="7">
        <f>B6*B7</f>
        <v>1.6</v>
      </c>
    </row>
    <row r="7" spans="1:5" x14ac:dyDescent="0.75">
      <c r="A7" s="6" t="s">
        <v>61</v>
      </c>
      <c r="B7" s="7">
        <v>0.02</v>
      </c>
    </row>
    <row r="9" spans="1:5" x14ac:dyDescent="0.75">
      <c r="A9" s="21" t="s">
        <v>82</v>
      </c>
      <c r="B9" s="22" t="s">
        <v>65</v>
      </c>
      <c r="C9" s="22"/>
    </row>
    <row r="10" spans="1:5" x14ac:dyDescent="0.75">
      <c r="A10" s="21"/>
      <c r="B10" s="9" t="s">
        <v>83</v>
      </c>
      <c r="C10" s="9" t="s">
        <v>81</v>
      </c>
    </row>
    <row r="11" spans="1:5" x14ac:dyDescent="0.75">
      <c r="A11" s="7">
        <v>0</v>
      </c>
      <c r="B11" s="1">
        <f>_xlfn.BINOM.DIST(A11,$B$6,$B$7,FALSE)</f>
        <v>0.19864885008204095</v>
      </c>
      <c r="C11" s="1">
        <f>_xlfn.POISSON.DIST(A11,$E$6,FALSE)</f>
        <v>0.20189651799465538</v>
      </c>
    </row>
    <row r="12" spans="1:5" x14ac:dyDescent="0.75">
      <c r="A12" s="7">
        <v>1</v>
      </c>
      <c r="B12" s="1">
        <f t="shared" ref="B12:B19" si="0">_xlfn.BINOM.DIST(A12,$B$6,$B$7,FALSE)</f>
        <v>0.32432465319516879</v>
      </c>
      <c r="C12" s="1">
        <f t="shared" ref="C12:C19" si="1">_xlfn.POISSON.DIST(A12,$E$6,FALSE)</f>
        <v>0.32303442879144867</v>
      </c>
    </row>
    <row r="13" spans="1:5" x14ac:dyDescent="0.75">
      <c r="A13" s="7">
        <v>2</v>
      </c>
      <c r="B13" s="1">
        <f t="shared" si="0"/>
        <v>0.26144538369814629</v>
      </c>
      <c r="C13" s="1">
        <f t="shared" si="1"/>
        <v>0.25842754303315901</v>
      </c>
    </row>
    <row r="14" spans="1:5" x14ac:dyDescent="0.75">
      <c r="A14" s="7">
        <v>3</v>
      </c>
      <c r="B14" s="1">
        <f t="shared" si="0"/>
        <v>0.13872612196228168</v>
      </c>
      <c r="C14" s="1">
        <f t="shared" si="1"/>
        <v>0.13782802295101812</v>
      </c>
    </row>
    <row r="15" spans="1:5" x14ac:dyDescent="0.75">
      <c r="A15" s="7">
        <v>4</v>
      </c>
      <c r="B15" s="1">
        <f t="shared" si="0"/>
        <v>5.449954791375352E-2</v>
      </c>
      <c r="C15" s="1">
        <f t="shared" si="1"/>
        <v>5.5131209180407238E-2</v>
      </c>
    </row>
    <row r="16" spans="1:5" x14ac:dyDescent="0.75">
      <c r="A16" s="7">
        <v>5</v>
      </c>
      <c r="B16" s="1">
        <f t="shared" si="0"/>
        <v>1.6905982209980689E-2</v>
      </c>
      <c r="C16" s="1">
        <f t="shared" si="1"/>
        <v>1.7641986937730312E-2</v>
      </c>
    </row>
    <row r="17" spans="1:5" x14ac:dyDescent="0.75">
      <c r="A17" s="7">
        <v>6</v>
      </c>
      <c r="B17" s="1">
        <f t="shared" si="0"/>
        <v>4.3127505637705812E-3</v>
      </c>
      <c r="C17" s="1">
        <f t="shared" si="1"/>
        <v>4.7045298500614204E-3</v>
      </c>
    </row>
    <row r="18" spans="1:5" x14ac:dyDescent="0.75">
      <c r="A18" s="7">
        <v>7</v>
      </c>
      <c r="B18" s="1">
        <f t="shared" si="0"/>
        <v>9.3044764349569395E-4</v>
      </c>
      <c r="C18" s="1">
        <f t="shared" si="1"/>
        <v>1.0753211085854665E-3</v>
      </c>
    </row>
    <row r="19" spans="1:5" x14ac:dyDescent="0.75">
      <c r="A19" s="7">
        <v>8</v>
      </c>
      <c r="B19" s="1">
        <f t="shared" si="0"/>
        <v>1.732721376918004E-4</v>
      </c>
      <c r="C19" s="1">
        <f t="shared" si="1"/>
        <v>2.1506422171709369E-4</v>
      </c>
    </row>
    <row r="21" spans="1:5" x14ac:dyDescent="0.75">
      <c r="A21" s="4" t="s">
        <v>84</v>
      </c>
    </row>
    <row r="23" spans="1:5" ht="15.5" thickBot="1" x14ac:dyDescent="0.9">
      <c r="A23" s="24" t="s">
        <v>85</v>
      </c>
      <c r="B23" s="24"/>
      <c r="D23" s="24" t="s">
        <v>86</v>
      </c>
      <c r="E23" s="24"/>
    </row>
    <row r="24" spans="1:5" x14ac:dyDescent="0.75">
      <c r="A24" s="6" t="s">
        <v>31</v>
      </c>
      <c r="B24" s="7">
        <v>5</v>
      </c>
      <c r="D24" s="6" t="s">
        <v>18</v>
      </c>
      <c r="E24" s="7">
        <f>1/B24</f>
        <v>0.2</v>
      </c>
    </row>
    <row r="25" spans="1:5" x14ac:dyDescent="0.75">
      <c r="A25" s="6" t="s">
        <v>30</v>
      </c>
      <c r="B25" s="7">
        <v>1</v>
      </c>
    </row>
    <row r="27" spans="1:5" x14ac:dyDescent="0.75">
      <c r="A27" s="20" t="s">
        <v>87</v>
      </c>
      <c r="B27" s="22" t="s">
        <v>64</v>
      </c>
      <c r="C27" s="22"/>
    </row>
    <row r="28" spans="1:5" x14ac:dyDescent="0.75">
      <c r="A28" s="21"/>
      <c r="B28" s="9" t="s">
        <v>85</v>
      </c>
      <c r="C28" s="9" t="s">
        <v>86</v>
      </c>
    </row>
    <row r="29" spans="1:5" x14ac:dyDescent="0.75">
      <c r="A29" s="7">
        <v>0</v>
      </c>
      <c r="B29" s="1">
        <f>_xlfn.NORM.DIST(A29,$B$24,$B$25,FALSE)</f>
        <v>1.4867195147342977E-6</v>
      </c>
      <c r="C29" s="1">
        <f>_xlfn.EXPON.DIST(A29,$E$24,FALSE)</f>
        <v>0.2</v>
      </c>
    </row>
    <row r="30" spans="1:5" x14ac:dyDescent="0.75">
      <c r="A30" s="7">
        <v>0.1</v>
      </c>
      <c r="B30" s="1">
        <f t="shared" ref="B30:B93" si="2">_xlfn.NORM.DIST(A30,$B$24,$B$25,FALSE)</f>
        <v>2.4389607458933522E-6</v>
      </c>
      <c r="C30" s="1">
        <f t="shared" ref="C30:C93" si="3">_xlfn.EXPON.DIST(A30,$E$24,FALSE)</f>
        <v>0.19603973466135105</v>
      </c>
    </row>
    <row r="31" spans="1:5" x14ac:dyDescent="0.75">
      <c r="A31" s="7">
        <v>0.2</v>
      </c>
      <c r="B31" s="1">
        <f t="shared" si="2"/>
        <v>3.9612990910320753E-6</v>
      </c>
      <c r="C31" s="1">
        <f t="shared" si="3"/>
        <v>0.19215788783046464</v>
      </c>
    </row>
    <row r="32" spans="1:5" x14ac:dyDescent="0.75">
      <c r="A32" s="7">
        <v>0.3</v>
      </c>
      <c r="B32" s="1">
        <f t="shared" si="2"/>
        <v>6.3698251788670899E-6</v>
      </c>
      <c r="C32" s="1">
        <f t="shared" si="3"/>
        <v>0.18835290671684976</v>
      </c>
    </row>
    <row r="33" spans="1:3" x14ac:dyDescent="0.75">
      <c r="A33" s="7">
        <v>0.4</v>
      </c>
      <c r="B33" s="1">
        <f t="shared" si="2"/>
        <v>1.0140852065486758E-5</v>
      </c>
      <c r="C33" s="1">
        <f t="shared" si="3"/>
        <v>0.18462326927732717</v>
      </c>
    </row>
    <row r="34" spans="1:3" x14ac:dyDescent="0.75">
      <c r="A34" s="7">
        <v>0.5</v>
      </c>
      <c r="B34" s="1">
        <f t="shared" si="2"/>
        <v>1.5983741106905475E-5</v>
      </c>
      <c r="C34" s="1">
        <f t="shared" si="3"/>
        <v>0.18096748360719192</v>
      </c>
    </row>
    <row r="35" spans="1:3" x14ac:dyDescent="0.75">
      <c r="A35" s="7">
        <v>0.6</v>
      </c>
      <c r="B35" s="1">
        <f t="shared" si="2"/>
        <v>2.4942471290053535E-5</v>
      </c>
      <c r="C35" s="1">
        <f t="shared" si="3"/>
        <v>0.1773840873434315</v>
      </c>
    </row>
    <row r="36" spans="1:3" x14ac:dyDescent="0.75">
      <c r="A36" s="7">
        <v>0.7</v>
      </c>
      <c r="B36" s="1">
        <f t="shared" si="2"/>
        <v>3.8535196742087129E-5</v>
      </c>
      <c r="C36" s="1">
        <f t="shared" si="3"/>
        <v>0.17387164707976119</v>
      </c>
    </row>
    <row r="37" spans="1:3" x14ac:dyDescent="0.75">
      <c r="A37" s="7">
        <v>0.8</v>
      </c>
      <c r="B37" s="1">
        <f t="shared" si="2"/>
        <v>5.8943067756539855E-5</v>
      </c>
      <c r="C37" s="1">
        <f t="shared" si="3"/>
        <v>0.17042875779324229</v>
      </c>
    </row>
    <row r="38" spans="1:3" x14ac:dyDescent="0.75">
      <c r="A38" s="7">
        <v>0.9</v>
      </c>
      <c r="B38" s="1">
        <f t="shared" si="2"/>
        <v>8.9261657177132928E-5</v>
      </c>
      <c r="C38" s="1">
        <f t="shared" si="3"/>
        <v>0.1670540422822544</v>
      </c>
    </row>
    <row r="39" spans="1:3" x14ac:dyDescent="0.75">
      <c r="A39" s="7">
        <v>1</v>
      </c>
      <c r="B39" s="1">
        <f t="shared" si="2"/>
        <v>1.3383022576488537E-4</v>
      </c>
      <c r="C39" s="1">
        <f t="shared" si="3"/>
        <v>0.16374615061559639</v>
      </c>
    </row>
    <row r="40" spans="1:3" x14ac:dyDescent="0.75">
      <c r="A40" s="7">
        <v>1.1000000000000001</v>
      </c>
      <c r="B40" s="1">
        <f t="shared" si="2"/>
        <v>1.9865547139277272E-4</v>
      </c>
      <c r="C40" s="1">
        <f t="shared" si="3"/>
        <v>0.16050375959249572</v>
      </c>
    </row>
    <row r="41" spans="1:3" x14ac:dyDescent="0.75">
      <c r="A41" s="7">
        <v>1.2</v>
      </c>
      <c r="B41" s="1">
        <f t="shared" si="2"/>
        <v>2.9194692579146027E-4</v>
      </c>
      <c r="C41" s="1">
        <f t="shared" si="3"/>
        <v>0.1573255722133107</v>
      </c>
    </row>
    <row r="42" spans="1:3" x14ac:dyDescent="0.75">
      <c r="A42" s="7">
        <v>1.3</v>
      </c>
      <c r="B42" s="1">
        <f t="shared" si="2"/>
        <v>4.2478027055075143E-4</v>
      </c>
      <c r="C42" s="1">
        <f t="shared" si="3"/>
        <v>0.15421031716071326</v>
      </c>
    </row>
    <row r="43" spans="1:3" x14ac:dyDescent="0.75">
      <c r="A43" s="7">
        <v>1.4</v>
      </c>
      <c r="B43" s="1">
        <f t="shared" si="2"/>
        <v>6.119019301137719E-4</v>
      </c>
      <c r="C43" s="1">
        <f t="shared" si="3"/>
        <v>0.15115674829114512</v>
      </c>
    </row>
    <row r="44" spans="1:3" x14ac:dyDescent="0.75">
      <c r="A44" s="7">
        <v>1.5</v>
      </c>
      <c r="B44" s="1">
        <f t="shared" si="2"/>
        <v>8.7268269504576015E-4</v>
      </c>
      <c r="C44" s="1">
        <f t="shared" si="3"/>
        <v>0.14816364413634359</v>
      </c>
    </row>
    <row r="45" spans="1:3" x14ac:dyDescent="0.75">
      <c r="A45" s="7">
        <v>1.6</v>
      </c>
      <c r="B45" s="1">
        <f t="shared" si="2"/>
        <v>1.2322191684730199E-3</v>
      </c>
      <c r="C45" s="1">
        <f t="shared" si="3"/>
        <v>0.14522980741473818</v>
      </c>
    </row>
    <row r="46" spans="1:3" x14ac:dyDescent="0.75">
      <c r="A46" s="7">
        <v>1.7</v>
      </c>
      <c r="B46" s="1">
        <f t="shared" si="2"/>
        <v>1.7225689390536812E-3</v>
      </c>
      <c r="C46" s="1">
        <f t="shared" si="3"/>
        <v>0.14235406455252195</v>
      </c>
    </row>
    <row r="47" spans="1:3" x14ac:dyDescent="0.75">
      <c r="A47" s="7">
        <v>1.8</v>
      </c>
      <c r="B47" s="1">
        <f t="shared" si="2"/>
        <v>2.3840882014648404E-3</v>
      </c>
      <c r="C47" s="1">
        <f t="shared" si="3"/>
        <v>0.1395352652142062</v>
      </c>
    </row>
    <row r="48" spans="1:3" x14ac:dyDescent="0.75">
      <c r="A48" s="7">
        <v>1.9</v>
      </c>
      <c r="B48" s="1">
        <f t="shared" si="2"/>
        <v>3.2668190561999182E-3</v>
      </c>
      <c r="C48" s="1">
        <f t="shared" si="3"/>
        <v>0.13677228184247117</v>
      </c>
    </row>
    <row r="49" spans="1:3" x14ac:dyDescent="0.75">
      <c r="A49" s="7">
        <v>2</v>
      </c>
      <c r="B49" s="1">
        <f t="shared" si="2"/>
        <v>4.4318484119380075E-3</v>
      </c>
      <c r="C49" s="1">
        <f t="shared" si="3"/>
        <v>0.13406400920712788</v>
      </c>
    </row>
    <row r="50" spans="1:3" x14ac:dyDescent="0.75">
      <c r="A50" s="7">
        <v>2.1</v>
      </c>
      <c r="B50" s="1">
        <f t="shared" si="2"/>
        <v>5.9525324197758538E-3</v>
      </c>
      <c r="C50" s="1">
        <f t="shared" si="3"/>
        <v>0.13140936396301137</v>
      </c>
    </row>
    <row r="51" spans="1:3" x14ac:dyDescent="0.75">
      <c r="A51" s="7">
        <v>2.2000000000000002</v>
      </c>
      <c r="B51" s="1">
        <f t="shared" si="2"/>
        <v>7.9154515829799686E-3</v>
      </c>
      <c r="C51" s="1">
        <f t="shared" si="3"/>
        <v>0.12880728421662826</v>
      </c>
    </row>
    <row r="52" spans="1:3" x14ac:dyDescent="0.75">
      <c r="A52" s="7">
        <v>2.2999999999999998</v>
      </c>
      <c r="B52" s="1">
        <f t="shared" si="2"/>
        <v>1.0420934814422592E-2</v>
      </c>
      <c r="C52" s="1">
        <f t="shared" si="3"/>
        <v>0.12625672910138519</v>
      </c>
    </row>
    <row r="53" spans="1:3" x14ac:dyDescent="0.75">
      <c r="A53" s="7">
        <v>2.4</v>
      </c>
      <c r="B53" s="1">
        <f t="shared" si="2"/>
        <v>1.3582969233685613E-2</v>
      </c>
      <c r="C53" s="1">
        <f t="shared" si="3"/>
        <v>0.12375667836122817</v>
      </c>
    </row>
    <row r="54" spans="1:3" x14ac:dyDescent="0.75">
      <c r="A54" s="7">
        <v>2.5</v>
      </c>
      <c r="B54" s="1">
        <f t="shared" si="2"/>
        <v>1.752830049356854E-2</v>
      </c>
      <c r="C54" s="1">
        <f t="shared" si="3"/>
        <v>0.12130613194252669</v>
      </c>
    </row>
    <row r="55" spans="1:3" x14ac:dyDescent="0.75">
      <c r="A55" s="7">
        <v>2.6</v>
      </c>
      <c r="B55" s="1">
        <f t="shared" si="2"/>
        <v>2.2394530294842899E-2</v>
      </c>
      <c r="C55" s="1">
        <f t="shared" si="3"/>
        <v>0.11890410959403888</v>
      </c>
    </row>
    <row r="56" spans="1:3" x14ac:dyDescent="0.75">
      <c r="A56" s="7">
        <v>2.7</v>
      </c>
      <c r="B56" s="1">
        <f t="shared" si="2"/>
        <v>2.8327037741601186E-2</v>
      </c>
      <c r="C56" s="1">
        <f t="shared" si="3"/>
        <v>0.11654965047479793</v>
      </c>
    </row>
    <row r="57" spans="1:3" x14ac:dyDescent="0.75">
      <c r="A57" s="7">
        <v>2.8</v>
      </c>
      <c r="B57" s="1">
        <f t="shared" si="2"/>
        <v>3.5474592846231424E-2</v>
      </c>
      <c r="C57" s="1">
        <f t="shared" si="3"/>
        <v>0.11424181276976297</v>
      </c>
    </row>
    <row r="58" spans="1:3" x14ac:dyDescent="0.75">
      <c r="A58" s="7">
        <v>2.9</v>
      </c>
      <c r="B58" s="1">
        <f t="shared" si="2"/>
        <v>4.3983595980427191E-2</v>
      </c>
      <c r="C58" s="1">
        <f t="shared" si="3"/>
        <v>0.11197967331308041</v>
      </c>
    </row>
    <row r="59" spans="1:3" x14ac:dyDescent="0.75">
      <c r="A59" s="7">
        <v>3</v>
      </c>
      <c r="B59" s="1">
        <f t="shared" si="2"/>
        <v>5.3990966513188063E-2</v>
      </c>
      <c r="C59" s="1">
        <f t="shared" si="3"/>
        <v>0.10976232721880529</v>
      </c>
    </row>
    <row r="60" spans="1:3" x14ac:dyDescent="0.75">
      <c r="A60" s="7">
        <v>3.1</v>
      </c>
      <c r="B60" s="1">
        <f t="shared" si="2"/>
        <v>6.5615814774676595E-2</v>
      </c>
      <c r="C60" s="1">
        <f t="shared" si="3"/>
        <v>0.1075888875189349</v>
      </c>
    </row>
    <row r="61" spans="1:3" x14ac:dyDescent="0.75">
      <c r="A61" s="7">
        <v>3.2</v>
      </c>
      <c r="B61" s="1">
        <f t="shared" si="2"/>
        <v>7.8950158300894177E-2</v>
      </c>
      <c r="C61" s="1">
        <f t="shared" si="3"/>
        <v>0.10545848480860971</v>
      </c>
    </row>
    <row r="62" spans="1:3" x14ac:dyDescent="0.75">
      <c r="A62" s="7">
        <v>3.3</v>
      </c>
      <c r="B62" s="1">
        <f t="shared" si="2"/>
        <v>9.4049077376886905E-2</v>
      </c>
      <c r="C62" s="1">
        <f t="shared" si="3"/>
        <v>0.10337026689833984</v>
      </c>
    </row>
    <row r="63" spans="1:3" x14ac:dyDescent="0.75">
      <c r="A63" s="7">
        <v>3.4</v>
      </c>
      <c r="B63" s="1">
        <f t="shared" si="2"/>
        <v>0.11092083467945554</v>
      </c>
      <c r="C63" s="1">
        <f t="shared" si="3"/>
        <v>0.10132339847311791</v>
      </c>
    </row>
    <row r="64" spans="1:3" x14ac:dyDescent="0.75">
      <c r="A64" s="7">
        <v>3.5</v>
      </c>
      <c r="B64" s="1">
        <f t="shared" si="2"/>
        <v>0.12951759566589174</v>
      </c>
      <c r="C64" s="1">
        <f t="shared" si="3"/>
        <v>9.9317060758281894E-2</v>
      </c>
    </row>
    <row r="65" spans="1:3" x14ac:dyDescent="0.75">
      <c r="A65" s="7">
        <v>3.6</v>
      </c>
      <c r="B65" s="1">
        <f t="shared" si="2"/>
        <v>0.14972746563574488</v>
      </c>
      <c r="C65" s="1">
        <f t="shared" si="3"/>
        <v>9.7350451191994328E-2</v>
      </c>
    </row>
    <row r="66" spans="1:3" x14ac:dyDescent="0.75">
      <c r="A66" s="7">
        <v>3.7</v>
      </c>
      <c r="B66" s="1">
        <f t="shared" si="2"/>
        <v>0.17136859204780741</v>
      </c>
      <c r="C66" s="1">
        <f t="shared" si="3"/>
        <v>9.5422783104206876E-2</v>
      </c>
    </row>
    <row r="67" spans="1:3" x14ac:dyDescent="0.75">
      <c r="A67" s="7">
        <v>3.8</v>
      </c>
      <c r="B67" s="1">
        <f t="shared" si="2"/>
        <v>0.19418605498321292</v>
      </c>
      <c r="C67" s="1">
        <f t="shared" si="3"/>
        <v>9.3533285401981858E-2</v>
      </c>
    </row>
    <row r="68" spans="1:3" x14ac:dyDescent="0.75">
      <c r="A68" s="7">
        <v>3.9</v>
      </c>
      <c r="B68" s="1">
        <f t="shared" si="2"/>
        <v>0.21785217703255053</v>
      </c>
      <c r="C68" s="1">
        <f t="shared" si="3"/>
        <v>9.1681202261044703E-2</v>
      </c>
    </row>
    <row r="69" spans="1:3" x14ac:dyDescent="0.75">
      <c r="A69" s="7">
        <v>4</v>
      </c>
      <c r="B69" s="1">
        <f t="shared" si="2"/>
        <v>0.24197072451914337</v>
      </c>
      <c r="C69" s="1">
        <f t="shared" si="3"/>
        <v>8.9865792823444313E-2</v>
      </c>
    </row>
    <row r="70" spans="1:3" x14ac:dyDescent="0.75">
      <c r="A70" s="7">
        <v>4.0999999999999996</v>
      </c>
      <c r="B70" s="1">
        <f t="shared" si="2"/>
        <v>0.26608524989875476</v>
      </c>
      <c r="C70" s="1">
        <f t="shared" si="3"/>
        <v>8.8086330901199869E-2</v>
      </c>
    </row>
    <row r="71" spans="1:3" x14ac:dyDescent="0.75">
      <c r="A71" s="7">
        <v>4.2</v>
      </c>
      <c r="B71" s="1">
        <f t="shared" si="2"/>
        <v>0.28969155276148278</v>
      </c>
      <c r="C71" s="1">
        <f t="shared" si="3"/>
        <v>8.6342104685815935E-2</v>
      </c>
    </row>
    <row r="72" spans="1:3" x14ac:dyDescent="0.75">
      <c r="A72" s="7">
        <v>4.3</v>
      </c>
      <c r="B72" s="1">
        <f t="shared" si="2"/>
        <v>0.31225393336676122</v>
      </c>
      <c r="C72" s="1">
        <f t="shared" si="3"/>
        <v>8.463241646354977E-2</v>
      </c>
    </row>
    <row r="73" spans="1:3" x14ac:dyDescent="0.75">
      <c r="A73" s="7">
        <v>4.4000000000000004</v>
      </c>
      <c r="B73" s="1">
        <f t="shared" si="2"/>
        <v>0.33322460289179973</v>
      </c>
      <c r="C73" s="1">
        <f t="shared" si="3"/>
        <v>8.2956582336316267E-2</v>
      </c>
    </row>
    <row r="74" spans="1:3" x14ac:dyDescent="0.75">
      <c r="A74" s="7">
        <v>4.5</v>
      </c>
      <c r="B74" s="1">
        <f t="shared" si="2"/>
        <v>0.35206532676429952</v>
      </c>
      <c r="C74" s="1">
        <f t="shared" si="3"/>
        <v>8.1313931948119825E-2</v>
      </c>
    </row>
    <row r="75" spans="1:3" x14ac:dyDescent="0.75">
      <c r="A75" s="7">
        <v>4.5999999999999996</v>
      </c>
      <c r="B75" s="1">
        <f t="shared" si="2"/>
        <v>0.36827014030332328</v>
      </c>
      <c r="C75" s="1">
        <f t="shared" si="3"/>
        <v>7.9703808216902844E-2</v>
      </c>
    </row>
    <row r="76" spans="1:3" x14ac:dyDescent="0.75">
      <c r="A76" s="7">
        <v>4.7</v>
      </c>
      <c r="B76" s="1">
        <f t="shared" si="2"/>
        <v>0.38138781546052414</v>
      </c>
      <c r="C76" s="1">
        <f t="shared" si="3"/>
        <v>7.8125567071704219E-2</v>
      </c>
    </row>
    <row r="77" spans="1:3" x14ac:dyDescent="0.75">
      <c r="A77" s="7">
        <v>4.8</v>
      </c>
      <c r="B77" s="1">
        <f t="shared" si="2"/>
        <v>0.39104269397545588</v>
      </c>
      <c r="C77" s="1">
        <f t="shared" si="3"/>
        <v>7.6578577195022424E-2</v>
      </c>
    </row>
    <row r="78" spans="1:3" x14ac:dyDescent="0.75">
      <c r="A78" s="7">
        <v>4.9000000000000004</v>
      </c>
      <c r="B78" s="1">
        <f t="shared" si="2"/>
        <v>0.39695254747701181</v>
      </c>
      <c r="C78" s="1">
        <f t="shared" si="3"/>
        <v>7.5062219770279909E-2</v>
      </c>
    </row>
    <row r="79" spans="1:3" x14ac:dyDescent="0.75">
      <c r="A79" s="7">
        <v>5</v>
      </c>
      <c r="B79" s="1">
        <f t="shared" si="2"/>
        <v>0.3989422804014327</v>
      </c>
      <c r="C79" s="1">
        <f t="shared" si="3"/>
        <v>7.357588823428847E-2</v>
      </c>
    </row>
    <row r="80" spans="1:3" x14ac:dyDescent="0.75">
      <c r="A80" s="7">
        <v>5.0999999999999996</v>
      </c>
      <c r="B80" s="1">
        <f t="shared" si="2"/>
        <v>0.39695254747701181</v>
      </c>
      <c r="C80" s="1">
        <f t="shared" si="3"/>
        <v>7.2118988034615666E-2</v>
      </c>
    </row>
    <row r="81" spans="1:3" x14ac:dyDescent="0.75">
      <c r="A81" s="7">
        <v>5.2</v>
      </c>
      <c r="B81" s="1">
        <f t="shared" si="2"/>
        <v>0.39104269397545588</v>
      </c>
      <c r="C81" s="1">
        <f t="shared" si="3"/>
        <v>7.069093639175604E-2</v>
      </c>
    </row>
    <row r="82" spans="1:3" x14ac:dyDescent="0.75">
      <c r="A82" s="7">
        <v>5.3</v>
      </c>
      <c r="B82" s="1">
        <f t="shared" si="2"/>
        <v>0.38138781546052414</v>
      </c>
      <c r="C82" s="1">
        <f t="shared" si="3"/>
        <v>6.9291162066011477E-2</v>
      </c>
    </row>
    <row r="83" spans="1:3" x14ac:dyDescent="0.75">
      <c r="A83" s="7">
        <v>5.4</v>
      </c>
      <c r="B83" s="1">
        <f t="shared" si="2"/>
        <v>0.36827014030332328</v>
      </c>
      <c r="C83" s="1">
        <f t="shared" si="3"/>
        <v>6.7919105128987828E-2</v>
      </c>
    </row>
    <row r="84" spans="1:3" x14ac:dyDescent="0.75">
      <c r="A84" s="7">
        <v>5.5</v>
      </c>
      <c r="B84" s="1">
        <f t="shared" si="2"/>
        <v>0.35206532676429952</v>
      </c>
      <c r="C84" s="1">
        <f t="shared" si="3"/>
        <v>6.6574216739615916E-2</v>
      </c>
    </row>
    <row r="85" spans="1:3" x14ac:dyDescent="0.75">
      <c r="A85" s="7">
        <v>5.6</v>
      </c>
      <c r="B85" s="1">
        <f t="shared" si="2"/>
        <v>0.33322460289179973</v>
      </c>
      <c r="C85" s="1">
        <f t="shared" si="3"/>
        <v>6.5255958924607907E-2</v>
      </c>
    </row>
    <row r="86" spans="1:3" x14ac:dyDescent="0.75">
      <c r="A86" s="7">
        <v>5.7</v>
      </c>
      <c r="B86" s="1">
        <f t="shared" si="2"/>
        <v>0.31225393336676122</v>
      </c>
      <c r="C86" s="1">
        <f t="shared" si="3"/>
        <v>6.3963804363260768E-2</v>
      </c>
    </row>
    <row r="87" spans="1:3" x14ac:dyDescent="0.75">
      <c r="A87" s="7">
        <v>5.8</v>
      </c>
      <c r="B87" s="1">
        <f t="shared" si="2"/>
        <v>0.28969155276148278</v>
      </c>
      <c r="C87" s="1">
        <f t="shared" si="3"/>
        <v>6.2697236176521065E-2</v>
      </c>
    </row>
    <row r="88" spans="1:3" x14ac:dyDescent="0.75">
      <c r="A88" s="7">
        <v>5.9</v>
      </c>
      <c r="B88" s="1">
        <f t="shared" si="2"/>
        <v>0.26608524989875476</v>
      </c>
      <c r="C88" s="1">
        <f t="shared" si="3"/>
        <v>6.1455747720226245E-2</v>
      </c>
    </row>
    <row r="89" spans="1:3" x14ac:dyDescent="0.75">
      <c r="A89" s="7">
        <v>6</v>
      </c>
      <c r="B89" s="1">
        <f t="shared" si="2"/>
        <v>0.24197072451914337</v>
      </c>
      <c r="C89" s="1">
        <f t="shared" si="3"/>
        <v>6.0238842382440407E-2</v>
      </c>
    </row>
    <row r="90" spans="1:3" x14ac:dyDescent="0.75">
      <c r="A90" s="7">
        <v>6.1</v>
      </c>
      <c r="B90" s="1">
        <f t="shared" si="2"/>
        <v>0.21785217703255064</v>
      </c>
      <c r="C90" s="1">
        <f t="shared" si="3"/>
        <v>5.9046033384802847E-2</v>
      </c>
    </row>
    <row r="91" spans="1:3" x14ac:dyDescent="0.75">
      <c r="A91" s="7">
        <v>6.2</v>
      </c>
      <c r="B91" s="1">
        <f t="shared" si="2"/>
        <v>0.19418605498321292</v>
      </c>
      <c r="C91" s="1">
        <f t="shared" si="3"/>
        <v>5.7876843587810117E-2</v>
      </c>
    </row>
    <row r="92" spans="1:3" x14ac:dyDescent="0.75">
      <c r="A92" s="7">
        <v>6.3</v>
      </c>
      <c r="B92" s="1">
        <f t="shared" si="2"/>
        <v>0.17136859204780741</v>
      </c>
      <c r="C92" s="1">
        <f t="shared" si="3"/>
        <v>5.6730805299954085E-2</v>
      </c>
    </row>
    <row r="93" spans="1:3" x14ac:dyDescent="0.75">
      <c r="A93" s="7">
        <v>6.4</v>
      </c>
      <c r="B93" s="1">
        <f t="shared" si="2"/>
        <v>0.14972746563574479</v>
      </c>
      <c r="C93" s="1">
        <f t="shared" si="3"/>
        <v>5.560746009063882E-2</v>
      </c>
    </row>
    <row r="94" spans="1:3" x14ac:dyDescent="0.75">
      <c r="A94" s="7">
        <v>6.5</v>
      </c>
      <c r="B94" s="1">
        <f t="shared" ref="B94:B129" si="4">_xlfn.NORM.DIST(A94,$B$24,$B$25,FALSE)</f>
        <v>0.12951759566589174</v>
      </c>
      <c r="C94" s="1">
        <f t="shared" ref="C94:C129" si="5">_xlfn.EXPON.DIST(A94,$E$24,FALSE)</f>
        <v>5.4506358606802523E-2</v>
      </c>
    </row>
    <row r="95" spans="1:3" x14ac:dyDescent="0.75">
      <c r="A95" s="7">
        <v>6.6</v>
      </c>
      <c r="B95" s="1">
        <f t="shared" si="4"/>
        <v>0.11092083467945563</v>
      </c>
      <c r="C95" s="1">
        <f t="shared" si="5"/>
        <v>5.3427060393170071E-2</v>
      </c>
    </row>
    <row r="96" spans="1:3" x14ac:dyDescent="0.75">
      <c r="A96" s="7">
        <v>6.7</v>
      </c>
      <c r="B96" s="1">
        <f t="shared" si="4"/>
        <v>9.4049077376886905E-2</v>
      </c>
      <c r="C96" s="1">
        <f t="shared" si="5"/>
        <v>5.2369133716065198E-2</v>
      </c>
    </row>
    <row r="97" spans="1:3" x14ac:dyDescent="0.75">
      <c r="A97" s="7">
        <v>6.8</v>
      </c>
      <c r="B97" s="1">
        <f t="shared" si="4"/>
        <v>7.8950158300894177E-2</v>
      </c>
      <c r="C97" s="1">
        <f t="shared" si="5"/>
        <v>5.1332155390711176E-2</v>
      </c>
    </row>
    <row r="98" spans="1:3" x14ac:dyDescent="0.75">
      <c r="A98" s="7">
        <v>6.9</v>
      </c>
      <c r="B98" s="1">
        <f t="shared" si="4"/>
        <v>6.5615814774676554E-2</v>
      </c>
      <c r="C98" s="1">
        <f t="shared" si="5"/>
        <v>5.0315710611951295E-2</v>
      </c>
    </row>
    <row r="99" spans="1:3" x14ac:dyDescent="0.75">
      <c r="A99" s="7">
        <v>7</v>
      </c>
      <c r="B99" s="1">
        <f t="shared" si="4"/>
        <v>5.3990966513188063E-2</v>
      </c>
      <c r="C99" s="1">
        <f t="shared" si="5"/>
        <v>4.9319392788321287E-2</v>
      </c>
    </row>
    <row r="100" spans="1:3" x14ac:dyDescent="0.75">
      <c r="A100" s="7">
        <v>7.1</v>
      </c>
      <c r="B100" s="1">
        <f t="shared" si="4"/>
        <v>4.3983595980427233E-2</v>
      </c>
      <c r="C100" s="1">
        <f t="shared" si="5"/>
        <v>4.8342803379407294E-2</v>
      </c>
    </row>
    <row r="101" spans="1:3" x14ac:dyDescent="0.75">
      <c r="A101" s="7">
        <v>7.2</v>
      </c>
      <c r="B101" s="1">
        <f t="shared" si="4"/>
        <v>3.5474592846231424E-2</v>
      </c>
      <c r="C101" s="1">
        <f t="shared" si="5"/>
        <v>4.7385551736424343E-2</v>
      </c>
    </row>
    <row r="102" spans="1:3" x14ac:dyDescent="0.75">
      <c r="A102" s="7">
        <v>7.3</v>
      </c>
      <c r="B102" s="1">
        <f t="shared" si="4"/>
        <v>2.8327037741601186E-2</v>
      </c>
      <c r="C102" s="1">
        <f t="shared" si="5"/>
        <v>4.6447254945951769E-2</v>
      </c>
    </row>
    <row r="103" spans="1:3" x14ac:dyDescent="0.75">
      <c r="A103" s="7">
        <v>7.4</v>
      </c>
      <c r="B103" s="1">
        <f t="shared" si="4"/>
        <v>2.2394530294842882E-2</v>
      </c>
      <c r="C103" s="1">
        <f t="shared" si="5"/>
        <v>4.5527537676762542E-2</v>
      </c>
    </row>
    <row r="104" spans="1:3" x14ac:dyDescent="0.75">
      <c r="A104" s="7">
        <v>7.5</v>
      </c>
      <c r="B104" s="1">
        <f t="shared" si="4"/>
        <v>1.752830049356854E-2</v>
      </c>
      <c r="C104" s="1">
        <f t="shared" si="5"/>
        <v>4.4626032029685965E-2</v>
      </c>
    </row>
    <row r="105" spans="1:3" x14ac:dyDescent="0.75">
      <c r="A105" s="7">
        <v>7.6</v>
      </c>
      <c r="B105" s="1">
        <f t="shared" si="4"/>
        <v>1.3582969233685634E-2</v>
      </c>
      <c r="C105" s="1">
        <f t="shared" si="5"/>
        <v>4.3742377390442955E-2</v>
      </c>
    </row>
    <row r="106" spans="1:3" x14ac:dyDescent="0.75">
      <c r="A106" s="7">
        <v>7.7</v>
      </c>
      <c r="B106" s="1">
        <f t="shared" si="4"/>
        <v>1.0420934814422592E-2</v>
      </c>
      <c r="C106" s="1">
        <f t="shared" si="5"/>
        <v>4.2876220285395589E-2</v>
      </c>
    </row>
    <row r="107" spans="1:3" x14ac:dyDescent="0.75">
      <c r="A107" s="7">
        <v>7.8</v>
      </c>
      <c r="B107" s="1">
        <f t="shared" si="4"/>
        <v>7.9154515829799686E-3</v>
      </c>
      <c r="C107" s="1">
        <f t="shared" si="5"/>
        <v>4.2027214240152946E-2</v>
      </c>
    </row>
    <row r="108" spans="1:3" x14ac:dyDescent="0.75">
      <c r="A108" s="7">
        <v>7.9</v>
      </c>
      <c r="B108" s="1">
        <f t="shared" si="4"/>
        <v>5.9525324197758486E-3</v>
      </c>
      <c r="C108" s="1">
        <f t="shared" si="5"/>
        <v>4.1195019640976688E-2</v>
      </c>
    </row>
    <row r="109" spans="1:3" x14ac:dyDescent="0.75">
      <c r="A109" s="7">
        <v>8</v>
      </c>
      <c r="B109" s="1">
        <f t="shared" si="4"/>
        <v>4.4318484119380075E-3</v>
      </c>
      <c r="C109" s="1">
        <f t="shared" si="5"/>
        <v>4.0379303598931077E-2</v>
      </c>
    </row>
    <row r="110" spans="1:3" x14ac:dyDescent="0.75">
      <c r="A110" s="7">
        <v>8.1</v>
      </c>
      <c r="B110" s="1">
        <f t="shared" si="4"/>
        <v>3.2668190561999247E-3</v>
      </c>
      <c r="C110" s="1">
        <f t="shared" si="5"/>
        <v>3.9579739816722935E-2</v>
      </c>
    </row>
    <row r="111" spans="1:3" x14ac:dyDescent="0.75">
      <c r="A111" s="7">
        <v>8.1999999999999993</v>
      </c>
      <c r="B111" s="1">
        <f t="shared" si="4"/>
        <v>2.3840882014648486E-3</v>
      </c>
      <c r="C111" s="1">
        <f t="shared" si="5"/>
        <v>3.8796008458178384E-2</v>
      </c>
    </row>
    <row r="112" spans="1:3" x14ac:dyDescent="0.75">
      <c r="A112" s="7">
        <v>8.3000000000000007</v>
      </c>
      <c r="B112" s="1">
        <f t="shared" si="4"/>
        <v>1.7225689390536767E-3</v>
      </c>
      <c r="C112" s="1">
        <f t="shared" si="5"/>
        <v>3.8027796020304101E-2</v>
      </c>
    </row>
    <row r="113" spans="1:3" x14ac:dyDescent="0.75">
      <c r="A113" s="7">
        <v>8.4</v>
      </c>
      <c r="B113" s="1">
        <f t="shared" si="4"/>
        <v>1.2322191684730175E-3</v>
      </c>
      <c r="C113" s="1">
        <f t="shared" si="5"/>
        <v>3.7274795207881989E-2</v>
      </c>
    </row>
    <row r="114" spans="1:3" x14ac:dyDescent="0.75">
      <c r="A114" s="7">
        <v>8.5</v>
      </c>
      <c r="B114" s="1">
        <f t="shared" si="4"/>
        <v>8.7268269504576015E-4</v>
      </c>
      <c r="C114" s="1">
        <f t="shared" si="5"/>
        <v>3.6536704810546924E-2</v>
      </c>
    </row>
    <row r="115" spans="1:3" x14ac:dyDescent="0.75">
      <c r="A115" s="7">
        <v>8.6</v>
      </c>
      <c r="B115" s="1">
        <f t="shared" si="4"/>
        <v>6.1190193011377298E-4</v>
      </c>
      <c r="C115" s="1">
        <f t="shared" si="5"/>
        <v>3.5813229582298649E-2</v>
      </c>
    </row>
    <row r="116" spans="1:3" x14ac:dyDescent="0.75">
      <c r="A116" s="7">
        <v>8.6999999999999993</v>
      </c>
      <c r="B116" s="1">
        <f t="shared" si="4"/>
        <v>4.247802705507529E-4</v>
      </c>
      <c r="C116" s="1">
        <f t="shared" si="5"/>
        <v>3.5104080123399377E-2</v>
      </c>
    </row>
    <row r="117" spans="1:3" x14ac:dyDescent="0.75">
      <c r="A117" s="7">
        <v>8.8000000000000007</v>
      </c>
      <c r="B117" s="1">
        <f t="shared" si="4"/>
        <v>2.9194692579145951E-4</v>
      </c>
      <c r="C117" s="1">
        <f t="shared" si="5"/>
        <v>3.44089727646101E-2</v>
      </c>
    </row>
    <row r="118" spans="1:3" x14ac:dyDescent="0.75">
      <c r="A118" s="7">
        <v>8.9</v>
      </c>
      <c r="B118" s="1">
        <f t="shared" si="4"/>
        <v>1.9865547139277237E-4</v>
      </c>
      <c r="C118" s="1">
        <f t="shared" si="5"/>
        <v>3.3727629453719092E-2</v>
      </c>
    </row>
    <row r="119" spans="1:3" x14ac:dyDescent="0.75">
      <c r="A119" s="7">
        <v>9</v>
      </c>
      <c r="B119" s="1">
        <f t="shared" si="4"/>
        <v>1.3383022576488537E-4</v>
      </c>
      <c r="C119" s="1">
        <f t="shared" si="5"/>
        <v>3.3059777644317306E-2</v>
      </c>
    </row>
    <row r="120" spans="1:3" x14ac:dyDescent="0.75">
      <c r="A120" s="7">
        <v>9.1</v>
      </c>
      <c r="B120" s="1">
        <f t="shared" si="4"/>
        <v>8.9261657177132928E-5</v>
      </c>
      <c r="C120" s="1">
        <f t="shared" si="5"/>
        <v>3.2405150186776151E-2</v>
      </c>
    </row>
    <row r="121" spans="1:3" x14ac:dyDescent="0.75">
      <c r="A121" s="7">
        <v>9.1999999999999993</v>
      </c>
      <c r="B121" s="1">
        <f t="shared" si="4"/>
        <v>5.8943067756540058E-5</v>
      </c>
      <c r="C121" s="1">
        <f t="shared" si="5"/>
        <v>3.1763485221384141E-2</v>
      </c>
    </row>
    <row r="122" spans="1:3" x14ac:dyDescent="0.75">
      <c r="A122" s="7">
        <v>9.3000000000000007</v>
      </c>
      <c r="B122" s="1">
        <f t="shared" si="4"/>
        <v>3.8535196742086994E-5</v>
      </c>
      <c r="C122" s="1">
        <f t="shared" si="5"/>
        <v>3.1134526073599452E-2</v>
      </c>
    </row>
    <row r="123" spans="1:3" x14ac:dyDescent="0.75">
      <c r="A123" s="7">
        <v>9.4</v>
      </c>
      <c r="B123" s="1">
        <f t="shared" si="4"/>
        <v>2.4942471290053535E-5</v>
      </c>
      <c r="C123" s="1">
        <f t="shared" si="5"/>
        <v>3.0518021151376775E-2</v>
      </c>
    </row>
    <row r="124" spans="1:3" x14ac:dyDescent="0.75">
      <c r="A124" s="7">
        <v>9.5</v>
      </c>
      <c r="B124" s="1">
        <f t="shared" si="4"/>
        <v>1.5983741106905475E-5</v>
      </c>
      <c r="C124" s="1">
        <f t="shared" si="5"/>
        <v>2.9913723844527007E-2</v>
      </c>
    </row>
    <row r="125" spans="1:3" x14ac:dyDescent="0.75">
      <c r="A125" s="7">
        <v>9.6</v>
      </c>
      <c r="B125" s="1">
        <f t="shared" si="4"/>
        <v>1.0140852065486758E-5</v>
      </c>
      <c r="C125" s="1">
        <f t="shared" si="5"/>
        <v>2.9321392426070032E-2</v>
      </c>
    </row>
    <row r="126" spans="1:3" x14ac:dyDescent="0.75">
      <c r="A126" s="7">
        <v>9.6999999999999993</v>
      </c>
      <c r="B126" s="1">
        <f t="shared" si="4"/>
        <v>6.3698251788671238E-6</v>
      </c>
      <c r="C126" s="1">
        <f t="shared" si="5"/>
        <v>2.8740789955540587E-2</v>
      </c>
    </row>
    <row r="127" spans="1:3" x14ac:dyDescent="0.75">
      <c r="A127" s="7">
        <v>9.8000000000000007</v>
      </c>
      <c r="B127" s="1">
        <f t="shared" si="4"/>
        <v>3.9612990910320609E-6</v>
      </c>
      <c r="C127" s="1">
        <f t="shared" si="5"/>
        <v>2.8171684184208998E-2</v>
      </c>
    </row>
    <row r="128" spans="1:3" x14ac:dyDescent="0.75">
      <c r="A128" s="7">
        <v>9.9</v>
      </c>
      <c r="B128" s="1">
        <f t="shared" si="4"/>
        <v>2.4389607458933522E-6</v>
      </c>
      <c r="C128" s="1">
        <f t="shared" si="5"/>
        <v>2.761384746217856E-2</v>
      </c>
    </row>
    <row r="129" spans="1:3" x14ac:dyDescent="0.75">
      <c r="A129" s="7">
        <v>10</v>
      </c>
      <c r="B129" s="1">
        <f t="shared" si="4"/>
        <v>1.4867195147342977E-6</v>
      </c>
      <c r="C129" s="1">
        <f t="shared" si="5"/>
        <v>2.7067056647322542E-2</v>
      </c>
    </row>
  </sheetData>
  <mergeCells count="9">
    <mergeCell ref="A27:A28"/>
    <mergeCell ref="B27:C27"/>
    <mergeCell ref="A1:D1"/>
    <mergeCell ref="A5:B5"/>
    <mergeCell ref="D5:E5"/>
    <mergeCell ref="A9:A10"/>
    <mergeCell ref="B9:C9"/>
    <mergeCell ref="A23:B23"/>
    <mergeCell ref="D23:E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0906-FD51-46C6-A8B6-34A26AB1349C}">
  <dimension ref="A13:F56"/>
  <sheetViews>
    <sheetView topLeftCell="A42" zoomScaleNormal="100" workbookViewId="0">
      <selection activeCell="Q23" sqref="Q23"/>
    </sheetView>
  </sheetViews>
  <sheetFormatPr baseColWidth="10" defaultRowHeight="14.75" x14ac:dyDescent="0.75"/>
  <cols>
    <col min="1" max="1" width="22.26953125" customWidth="1"/>
    <col min="2" max="6" width="14.7265625" customWidth="1"/>
  </cols>
  <sheetData>
    <row r="13" spans="1:6" x14ac:dyDescent="0.75">
      <c r="A13" s="6" t="s">
        <v>103</v>
      </c>
      <c r="B13" s="10">
        <v>1E-3</v>
      </c>
    </row>
    <row r="15" spans="1:6" ht="18" thickBot="1" x14ac:dyDescent="1">
      <c r="A15" s="11" t="s">
        <v>88</v>
      </c>
      <c r="B15" s="11"/>
      <c r="C15" s="11"/>
      <c r="D15" s="11"/>
      <c r="E15" s="11"/>
      <c r="F15" s="11"/>
    </row>
    <row r="16" spans="1:6" ht="15.5" thickTop="1" x14ac:dyDescent="0.75">
      <c r="A16" s="12"/>
      <c r="B16" s="3" t="s">
        <v>89</v>
      </c>
      <c r="C16" s="3" t="s">
        <v>90</v>
      </c>
      <c r="D16" s="3" t="s">
        <v>91</v>
      </c>
      <c r="E16" s="3" t="s">
        <v>92</v>
      </c>
      <c r="F16" s="3" t="s">
        <v>93</v>
      </c>
    </row>
    <row r="17" spans="1:6" x14ac:dyDescent="0.75">
      <c r="A17" s="16" t="s">
        <v>104</v>
      </c>
      <c r="B17" s="7">
        <v>1200</v>
      </c>
      <c r="C17" s="7">
        <v>400</v>
      </c>
      <c r="D17" s="7">
        <v>600</v>
      </c>
      <c r="E17" s="7">
        <v>500</v>
      </c>
      <c r="F17" s="7">
        <v>900</v>
      </c>
    </row>
    <row r="18" spans="1:6" x14ac:dyDescent="0.75">
      <c r="A18" s="16" t="s">
        <v>105</v>
      </c>
      <c r="B18" s="10">
        <v>5.0000000000000001E-3</v>
      </c>
      <c r="C18" s="13">
        <v>0.01</v>
      </c>
      <c r="D18" s="10">
        <v>7.4999999999999997E-3</v>
      </c>
      <c r="E18" s="10">
        <v>7.4999999999999997E-3</v>
      </c>
      <c r="F18" s="10">
        <v>5.0000000000000001E-3</v>
      </c>
    </row>
    <row r="19" spans="1:6" x14ac:dyDescent="0.75">
      <c r="A19" s="14" t="s">
        <v>94</v>
      </c>
      <c r="B19" s="1">
        <f>B17*$B$13</f>
        <v>1.2</v>
      </c>
      <c r="C19" s="1">
        <f t="shared" ref="C19:F19" si="0">C17*$B$13</f>
        <v>0.4</v>
      </c>
      <c r="D19" s="1">
        <f t="shared" si="0"/>
        <v>0.6</v>
      </c>
      <c r="E19" s="1">
        <f t="shared" si="0"/>
        <v>0.5</v>
      </c>
      <c r="F19" s="1">
        <f t="shared" si="0"/>
        <v>0.9</v>
      </c>
    </row>
    <row r="20" spans="1:6" ht="29.5" x14ac:dyDescent="0.75">
      <c r="A20" s="19" t="s">
        <v>106</v>
      </c>
      <c r="B20" s="1">
        <f>B17*B18</f>
        <v>6</v>
      </c>
      <c r="C20" s="1">
        <f t="shared" ref="C20:F20" si="1">C17*C18</f>
        <v>4</v>
      </c>
      <c r="D20" s="1">
        <f t="shared" si="1"/>
        <v>4.5</v>
      </c>
      <c r="E20" s="1">
        <f t="shared" si="1"/>
        <v>3.75</v>
      </c>
      <c r="F20" s="1">
        <f t="shared" si="1"/>
        <v>4.5</v>
      </c>
    </row>
    <row r="21" spans="1:6" x14ac:dyDescent="0.75">
      <c r="A21" s="14" t="s">
        <v>95</v>
      </c>
      <c r="B21" s="15">
        <f>1-_xlfn.BINOM.DIST(B20,B17,$B$13,TRUE)</f>
        <v>2.4812520855044262E-4</v>
      </c>
      <c r="C21" s="15">
        <f t="shared" ref="C21:F21" si="2">1-_xlfn.BINOM.DIST(C20,C17,$B$13,TRUE)</f>
        <v>5.9964202692608382E-5</v>
      </c>
      <c r="D21" s="15">
        <f t="shared" si="2"/>
        <v>3.8946439345499684E-4</v>
      </c>
      <c r="E21" s="15">
        <f t="shared" si="2"/>
        <v>1.7358521406212191E-3</v>
      </c>
      <c r="F21" s="15">
        <f t="shared" si="2"/>
        <v>2.3269189744636876E-3</v>
      </c>
    </row>
    <row r="23" spans="1:6" ht="18" thickBot="1" x14ac:dyDescent="1">
      <c r="A23" s="11" t="s">
        <v>96</v>
      </c>
      <c r="B23" s="11"/>
      <c r="C23" s="11"/>
      <c r="D23" s="11"/>
      <c r="E23" s="11"/>
      <c r="F23" s="11"/>
    </row>
    <row r="24" spans="1:6" ht="15.5" thickTop="1" x14ac:dyDescent="0.75">
      <c r="B24" s="3" t="s">
        <v>89</v>
      </c>
      <c r="C24" s="3" t="s">
        <v>90</v>
      </c>
      <c r="D24" s="3" t="s">
        <v>91</v>
      </c>
      <c r="E24" s="3" t="s">
        <v>92</v>
      </c>
      <c r="F24" s="3" t="s">
        <v>93</v>
      </c>
    </row>
    <row r="25" spans="1:6" x14ac:dyDescent="0.75">
      <c r="A25" s="16" t="s">
        <v>97</v>
      </c>
      <c r="B25" s="13">
        <v>0.1</v>
      </c>
      <c r="C25" s="13">
        <v>0.12</v>
      </c>
      <c r="D25" s="13">
        <v>0.08</v>
      </c>
      <c r="E25" s="13">
        <v>0.1</v>
      </c>
      <c r="F25" s="13">
        <v>7.0000000000000007E-2</v>
      </c>
    </row>
    <row r="26" spans="1:6" ht="29.5" x14ac:dyDescent="0.75">
      <c r="A26" s="14" t="s">
        <v>98</v>
      </c>
      <c r="B26" s="1">
        <f>B17*(1+B25)</f>
        <v>1320</v>
      </c>
      <c r="C26" s="1">
        <f t="shared" ref="C26:F26" si="3">C17*(1+C25)</f>
        <v>448.00000000000006</v>
      </c>
      <c r="D26" s="1">
        <f t="shared" si="3"/>
        <v>648</v>
      </c>
      <c r="E26" s="1">
        <f t="shared" si="3"/>
        <v>550</v>
      </c>
      <c r="F26" s="1">
        <f t="shared" si="3"/>
        <v>963</v>
      </c>
    </row>
    <row r="27" spans="1:6" ht="29.5" x14ac:dyDescent="0.75">
      <c r="A27" s="14" t="s">
        <v>99</v>
      </c>
      <c r="B27" s="15">
        <f>1-_xlfn.POISSON.DIST(B26,B17,TRUE)</f>
        <v>3.047387722625583E-4</v>
      </c>
      <c r="C27" s="15">
        <f t="shared" ref="C27:F27" si="4">1-_xlfn.POISSON.DIST(C26,C17,TRUE)</f>
        <v>8.5049940165937699E-3</v>
      </c>
      <c r="D27" s="15">
        <f t="shared" si="4"/>
        <v>2.4944985455385482E-2</v>
      </c>
      <c r="E27" s="15">
        <f t="shared" si="4"/>
        <v>1.289822084039205E-2</v>
      </c>
      <c r="F27" s="15">
        <f t="shared" si="4"/>
        <v>1.795374462912136E-2</v>
      </c>
    </row>
    <row r="29" spans="1:6" ht="18" thickBot="1" x14ac:dyDescent="1">
      <c r="A29" s="11" t="s">
        <v>100</v>
      </c>
      <c r="B29" s="11"/>
      <c r="C29" s="11"/>
      <c r="D29" s="11"/>
      <c r="E29" s="11"/>
      <c r="F29" s="11"/>
    </row>
    <row r="30" spans="1:6" ht="15.5" thickTop="1" x14ac:dyDescent="0.75">
      <c r="A30" s="27" t="s">
        <v>101</v>
      </c>
      <c r="B30" s="28" t="s">
        <v>102</v>
      </c>
      <c r="C30" s="28"/>
      <c r="D30" s="28"/>
      <c r="E30" s="28"/>
      <c r="F30" s="28"/>
    </row>
    <row r="31" spans="1:6" x14ac:dyDescent="0.75">
      <c r="A31" s="27"/>
      <c r="B31" s="17" t="s">
        <v>89</v>
      </c>
      <c r="C31" s="17" t="s">
        <v>90</v>
      </c>
      <c r="D31" s="17" t="s">
        <v>91</v>
      </c>
      <c r="E31" s="17" t="s">
        <v>92</v>
      </c>
      <c r="F31" s="17" t="s">
        <v>93</v>
      </c>
    </row>
    <row r="32" spans="1:6" x14ac:dyDescent="0.75">
      <c r="A32" s="18">
        <v>0.01</v>
      </c>
      <c r="B32" s="1">
        <f>1-_xlfn.POISSON.DIST(B$17*(1+$A32),B$17,TRUE)</f>
        <v>0.35754690870175132</v>
      </c>
      <c r="C32" s="1">
        <f>1-_xlfn.POISSON.DIST(C$17*(1+$A32),C$17,TRUE)</f>
        <v>0.40791940921773384</v>
      </c>
      <c r="D32" s="1">
        <f>1-_xlfn.POISSON.DIST(D$17*(1+$A32),D$17,TRUE)</f>
        <v>0.39293494372643445</v>
      </c>
      <c r="E32" s="1">
        <f>1-_xlfn.POISSON.DIST(E$17*(1+$A32),E$17,TRUE)</f>
        <v>0.40014944805354247</v>
      </c>
      <c r="F32" s="1">
        <f>1-_xlfn.POISSON.DIST(F$17*(1+$A32),F$17,TRUE)</f>
        <v>0.37385569026328747</v>
      </c>
    </row>
    <row r="33" spans="1:6" x14ac:dyDescent="0.75">
      <c r="A33" s="18">
        <v>0.02</v>
      </c>
      <c r="B33" s="1">
        <f t="shared" ref="B33:F56" si="5">1-_xlfn.POISSON.DIST(B$17*(1+$A33),B$17,TRUE)</f>
        <v>0.23895651357773884</v>
      </c>
      <c r="C33" s="1">
        <f t="shared" si="5"/>
        <v>0.33293813469425992</v>
      </c>
      <c r="D33" s="1">
        <f t="shared" si="5"/>
        <v>0.30315923028859038</v>
      </c>
      <c r="E33" s="1">
        <f t="shared" si="5"/>
        <v>0.31726006471976909</v>
      </c>
      <c r="F33" s="1">
        <f t="shared" si="5"/>
        <v>0.26759291191048729</v>
      </c>
    </row>
    <row r="34" spans="1:6" x14ac:dyDescent="0.75">
      <c r="A34" s="18">
        <v>0.03</v>
      </c>
      <c r="B34" s="1">
        <f t="shared" si="5"/>
        <v>0.14612994647822286</v>
      </c>
      <c r="C34" s="1">
        <f t="shared" si="5"/>
        <v>0.26432133528195245</v>
      </c>
      <c r="D34" s="1">
        <f t="shared" si="5"/>
        <v>0.22416619850711705</v>
      </c>
      <c r="E34" s="1">
        <f t="shared" si="5"/>
        <v>0.24288187685773022</v>
      </c>
      <c r="F34" s="1">
        <f t="shared" si="5"/>
        <v>0.1794180228031601</v>
      </c>
    </row>
    <row r="35" spans="1:6" x14ac:dyDescent="0.75">
      <c r="A35" s="18">
        <v>0.04</v>
      </c>
      <c r="B35" s="1">
        <f t="shared" si="5"/>
        <v>8.1420720966120186E-2</v>
      </c>
      <c r="C35" s="1">
        <f t="shared" si="5"/>
        <v>0.20391940439584255</v>
      </c>
      <c r="D35" s="1">
        <f t="shared" si="5"/>
        <v>0.15858883682165681</v>
      </c>
      <c r="E35" s="1">
        <f t="shared" si="5"/>
        <v>0.17930079175265878</v>
      </c>
      <c r="F35" s="1">
        <f t="shared" si="5"/>
        <v>0.11235511734704495</v>
      </c>
    </row>
    <row r="36" spans="1:6" x14ac:dyDescent="0.75">
      <c r="A36" s="18">
        <v>0.05</v>
      </c>
      <c r="B36" s="1">
        <f t="shared" si="5"/>
        <v>4.1204059442510599E-2</v>
      </c>
      <c r="C36" s="1">
        <f t="shared" si="5"/>
        <v>0.15275411775380743</v>
      </c>
      <c r="D36" s="1">
        <f t="shared" si="5"/>
        <v>0.10719681752944643</v>
      </c>
      <c r="E36" s="1">
        <f t="shared" si="5"/>
        <v>0.12749867961056982</v>
      </c>
      <c r="F36" s="1">
        <f t="shared" si="5"/>
        <v>6.556514158307758E-2</v>
      </c>
    </row>
    <row r="37" spans="1:6" x14ac:dyDescent="0.75">
      <c r="A37" s="18">
        <v>0.06</v>
      </c>
      <c r="B37" s="1">
        <f t="shared" si="5"/>
        <v>1.8896240800231112E-2</v>
      </c>
      <c r="C37" s="1">
        <f t="shared" si="5"/>
        <v>0.11103235444155524</v>
      </c>
      <c r="D37" s="1">
        <f t="shared" si="5"/>
        <v>6.9155919505933028E-2</v>
      </c>
      <c r="E37" s="1">
        <f t="shared" si="5"/>
        <v>8.7254610005697675E-2</v>
      </c>
      <c r="F37" s="1">
        <f t="shared" si="5"/>
        <v>3.5593626764505837E-2</v>
      </c>
    </row>
    <row r="38" spans="1:6" x14ac:dyDescent="0.75">
      <c r="A38" s="18">
        <v>7.0000000000000007E-2</v>
      </c>
      <c r="B38" s="1">
        <f t="shared" si="5"/>
        <v>7.8408076386016212E-3</v>
      </c>
      <c r="C38" s="1">
        <f t="shared" si="5"/>
        <v>7.8270535824974452E-2</v>
      </c>
      <c r="D38" s="1">
        <f t="shared" si="5"/>
        <v>4.2545515672731682E-2</v>
      </c>
      <c r="E38" s="1">
        <f t="shared" si="5"/>
        <v>5.7429284823796833E-2</v>
      </c>
      <c r="F38" s="1">
        <f t="shared" si="5"/>
        <v>1.795374462912136E-2</v>
      </c>
    </row>
    <row r="39" spans="1:6" x14ac:dyDescent="0.75">
      <c r="A39" s="18">
        <v>0.08</v>
      </c>
      <c r="B39" s="1">
        <f t="shared" si="5"/>
        <v>2.9406561714606649E-3</v>
      </c>
      <c r="C39" s="1">
        <f t="shared" si="5"/>
        <v>5.3488099275831313E-2</v>
      </c>
      <c r="D39" s="1">
        <f t="shared" si="5"/>
        <v>2.4944985455385482E-2</v>
      </c>
      <c r="E39" s="1">
        <f t="shared" si="5"/>
        <v>3.6333887004609267E-2</v>
      </c>
      <c r="F39" s="1">
        <f t="shared" si="5"/>
        <v>8.4070516135745788E-3</v>
      </c>
    </row>
    <row r="40" spans="1:6" x14ac:dyDescent="0.75">
      <c r="A40" s="18">
        <v>0.09</v>
      </c>
      <c r="B40" s="1">
        <f t="shared" si="5"/>
        <v>9.9620361784491518E-4</v>
      </c>
      <c r="C40" s="1">
        <f t="shared" si="5"/>
        <v>3.5422998275552287E-2</v>
      </c>
      <c r="D40" s="1">
        <f t="shared" si="5"/>
        <v>1.3932195416059612E-2</v>
      </c>
      <c r="E40" s="1">
        <f t="shared" si="5"/>
        <v>2.2087775575231783E-2</v>
      </c>
      <c r="F40" s="1">
        <f t="shared" si="5"/>
        <v>3.6524581469088435E-3</v>
      </c>
    </row>
    <row r="41" spans="1:6" x14ac:dyDescent="0.75">
      <c r="A41" s="18">
        <v>0.1</v>
      </c>
      <c r="B41" s="1">
        <f t="shared" si="5"/>
        <v>3.047387722625583E-4</v>
      </c>
      <c r="C41" s="1">
        <f t="shared" si="5"/>
        <v>2.2728832358929529E-2</v>
      </c>
      <c r="D41" s="1">
        <f t="shared" si="5"/>
        <v>7.4101182204435734E-3</v>
      </c>
      <c r="E41" s="1">
        <f t="shared" si="5"/>
        <v>1.289822084039205E-2</v>
      </c>
      <c r="F41" s="1">
        <f t="shared" si="5"/>
        <v>1.4717191157335163E-3</v>
      </c>
    </row>
    <row r="42" spans="1:6" x14ac:dyDescent="0.75">
      <c r="A42" s="18">
        <v>0.11</v>
      </c>
      <c r="B42" s="1">
        <f t="shared" si="5"/>
        <v>8.4166650642369945E-5</v>
      </c>
      <c r="C42" s="1">
        <f t="shared" si="5"/>
        <v>1.4127224036570851E-2</v>
      </c>
      <c r="D42" s="1">
        <f t="shared" si="5"/>
        <v>3.7524261698147487E-3</v>
      </c>
      <c r="E42" s="1">
        <f t="shared" si="5"/>
        <v>7.2337125057337914E-3</v>
      </c>
      <c r="F42" s="1">
        <f t="shared" si="5"/>
        <v>5.4990226571183243E-4</v>
      </c>
    </row>
    <row r="43" spans="1:6" x14ac:dyDescent="0.75">
      <c r="A43" s="18">
        <v>0.12</v>
      </c>
      <c r="B43" s="1">
        <f t="shared" si="5"/>
        <v>2.0990370922402413E-5</v>
      </c>
      <c r="C43" s="1">
        <f t="shared" si="5"/>
        <v>8.5049940165937699E-3</v>
      </c>
      <c r="D43" s="1">
        <f t="shared" si="5"/>
        <v>1.8089789249851052E-3</v>
      </c>
      <c r="E43" s="1">
        <f t="shared" si="5"/>
        <v>3.8957883799154436E-3</v>
      </c>
      <c r="F43" s="1">
        <f t="shared" si="5"/>
        <v>1.9052450457590631E-4</v>
      </c>
    </row>
    <row r="44" spans="1:6" x14ac:dyDescent="0.75">
      <c r="A44" s="18">
        <v>0.13</v>
      </c>
      <c r="B44" s="1">
        <f t="shared" si="5"/>
        <v>5.3739771588290353E-6</v>
      </c>
      <c r="C44" s="1">
        <f t="shared" si="5"/>
        <v>5.692086095151816E-3</v>
      </c>
      <c r="D44" s="1">
        <f t="shared" si="5"/>
        <v>9.4849748237502141E-4</v>
      </c>
      <c r="E44" s="1">
        <f t="shared" si="5"/>
        <v>2.0146925894870549E-3</v>
      </c>
      <c r="F44" s="1">
        <f t="shared" si="5"/>
        <v>6.9704006653958928E-5</v>
      </c>
    </row>
    <row r="45" spans="1:6" x14ac:dyDescent="0.75">
      <c r="A45" s="18">
        <v>0.14000000000000001</v>
      </c>
      <c r="B45" s="1">
        <f t="shared" si="5"/>
        <v>9.6207728894626143E-7</v>
      </c>
      <c r="C45" s="1">
        <f t="shared" si="5"/>
        <v>2.8004182478488238E-3</v>
      </c>
      <c r="D45" s="1">
        <f t="shared" si="5"/>
        <v>3.627032519307738E-4</v>
      </c>
      <c r="E45" s="1">
        <f t="shared" si="5"/>
        <v>1.000463108033367E-3</v>
      </c>
      <c r="F45" s="1">
        <f t="shared" si="5"/>
        <v>1.8241584456069049E-5</v>
      </c>
    </row>
    <row r="46" spans="1:6" x14ac:dyDescent="0.75">
      <c r="A46" s="18">
        <v>0.15</v>
      </c>
      <c r="B46" s="1">
        <f t="shared" si="5"/>
        <v>1.7694502307818993E-7</v>
      </c>
      <c r="C46" s="1">
        <f t="shared" si="5"/>
        <v>1.7863600359626641E-3</v>
      </c>
      <c r="D46" s="1">
        <f t="shared" si="5"/>
        <v>1.5086811467157624E-4</v>
      </c>
      <c r="E46" s="1">
        <f t="shared" si="5"/>
        <v>4.7707953137299253E-4</v>
      </c>
      <c r="F46" s="1">
        <f t="shared" si="5"/>
        <v>5.0428952798053928E-6</v>
      </c>
    </row>
    <row r="47" spans="1:6" x14ac:dyDescent="0.75">
      <c r="A47" s="18">
        <v>0.16</v>
      </c>
      <c r="B47" s="1">
        <f t="shared" si="5"/>
        <v>2.9427481451627102E-8</v>
      </c>
      <c r="C47" s="1">
        <f t="shared" si="5"/>
        <v>9.5385284968796391E-4</v>
      </c>
      <c r="D47" s="1">
        <f t="shared" si="5"/>
        <v>5.9754093081454407E-5</v>
      </c>
      <c r="E47" s="1">
        <f t="shared" si="5"/>
        <v>2.1848028158111266E-4</v>
      </c>
      <c r="F47" s="1">
        <f t="shared" si="5"/>
        <v>1.2936890815273827E-6</v>
      </c>
    </row>
    <row r="48" spans="1:6" x14ac:dyDescent="0.75">
      <c r="A48" s="18">
        <v>0.17</v>
      </c>
      <c r="B48" s="1">
        <f t="shared" si="5"/>
        <v>4.4277248534285718E-9</v>
      </c>
      <c r="C48" s="1">
        <f t="shared" si="5"/>
        <v>4.1627887654893669E-4</v>
      </c>
      <c r="D48" s="1">
        <f t="shared" si="5"/>
        <v>2.2538822015971682E-5</v>
      </c>
      <c r="E48" s="1">
        <f t="shared" si="5"/>
        <v>9.6097680866602531E-5</v>
      </c>
      <c r="F48" s="1">
        <f t="shared" si="5"/>
        <v>3.0807479167727081E-7</v>
      </c>
    </row>
    <row r="49" spans="1:6" x14ac:dyDescent="0.75">
      <c r="A49" s="18">
        <v>0.18</v>
      </c>
      <c r="B49" s="1">
        <f t="shared" si="5"/>
        <v>6.0306470928139788E-10</v>
      </c>
      <c r="C49" s="1">
        <f t="shared" si="5"/>
        <v>2.0690018861357906E-4</v>
      </c>
      <c r="D49" s="1">
        <f t="shared" si="5"/>
        <v>8.0978469383374829E-6</v>
      </c>
      <c r="E49" s="1">
        <f t="shared" si="5"/>
        <v>4.0602340016016036E-5</v>
      </c>
      <c r="F49" s="1">
        <f t="shared" si="5"/>
        <v>6.8126723484773777E-8</v>
      </c>
    </row>
    <row r="50" spans="1:6" x14ac:dyDescent="0.75">
      <c r="A50" s="18">
        <v>0.19</v>
      </c>
      <c r="B50" s="1">
        <f t="shared" si="5"/>
        <v>7.4397599192366215E-11</v>
      </c>
      <c r="C50" s="1">
        <f t="shared" si="5"/>
        <v>9.9624710385493032E-5</v>
      </c>
      <c r="D50" s="1">
        <f t="shared" si="5"/>
        <v>2.7718783117691714E-6</v>
      </c>
      <c r="E50" s="1">
        <f t="shared" si="5"/>
        <v>1.6481396646117474E-5</v>
      </c>
      <c r="F50" s="1">
        <f t="shared" si="5"/>
        <v>1.3995378189690655E-8</v>
      </c>
    </row>
    <row r="51" spans="1:6" x14ac:dyDescent="0.75">
      <c r="A51" s="18">
        <v>0.2</v>
      </c>
      <c r="B51" s="1">
        <f t="shared" si="5"/>
        <v>8.3182349897015229E-12</v>
      </c>
      <c r="C51" s="1">
        <f t="shared" si="5"/>
        <v>4.647874447583078E-5</v>
      </c>
      <c r="D51" s="1">
        <f t="shared" si="5"/>
        <v>9.0415860609649457E-7</v>
      </c>
      <c r="E51" s="1">
        <f t="shared" si="5"/>
        <v>6.4286011182135283E-6</v>
      </c>
      <c r="F51" s="1">
        <f t="shared" si="5"/>
        <v>2.6720072821007079E-9</v>
      </c>
    </row>
    <row r="52" spans="1:6" x14ac:dyDescent="0.75">
      <c r="A52" s="18">
        <v>0.21</v>
      </c>
      <c r="B52" s="1">
        <f t="shared" si="5"/>
        <v>8.4343643180773142E-13</v>
      </c>
      <c r="C52" s="1">
        <f t="shared" si="5"/>
        <v>2.1012596219227575E-5</v>
      </c>
      <c r="D52" s="1">
        <f t="shared" si="5"/>
        <v>2.8111705274724841E-7</v>
      </c>
      <c r="E52" s="1">
        <f t="shared" si="5"/>
        <v>2.4099017086331997E-6</v>
      </c>
      <c r="F52" s="1">
        <f t="shared" si="5"/>
        <v>4.7431170102640863E-10</v>
      </c>
    </row>
    <row r="53" spans="1:6" x14ac:dyDescent="0.75">
      <c r="A53" s="18">
        <v>0.22</v>
      </c>
      <c r="B53" s="1">
        <f t="shared" si="5"/>
        <v>7.7604589421298442E-14</v>
      </c>
      <c r="C53" s="1">
        <f t="shared" si="5"/>
        <v>9.2067100843085115E-6</v>
      </c>
      <c r="D53" s="1">
        <f t="shared" si="5"/>
        <v>8.3332321043627644E-8</v>
      </c>
      <c r="E53" s="1">
        <f t="shared" si="5"/>
        <v>8.6841728808018104E-7</v>
      </c>
      <c r="F53" s="1">
        <f t="shared" si="5"/>
        <v>7.8317019536200405E-11</v>
      </c>
    </row>
    <row r="54" spans="1:6" x14ac:dyDescent="0.75">
      <c r="A54" s="18">
        <v>0.23</v>
      </c>
      <c r="B54" s="1">
        <f t="shared" si="5"/>
        <v>6.4392935428259079E-15</v>
      </c>
      <c r="C54" s="1">
        <f t="shared" si="5"/>
        <v>3.9101537823160726E-6</v>
      </c>
      <c r="D54" s="1">
        <f t="shared" si="5"/>
        <v>2.3558052619776504E-8</v>
      </c>
      <c r="E54" s="1">
        <f t="shared" si="5"/>
        <v>3.0088039404407851E-7</v>
      </c>
      <c r="F54" s="1">
        <f t="shared" si="5"/>
        <v>1.2034040430819459E-11</v>
      </c>
    </row>
    <row r="55" spans="1:6" x14ac:dyDescent="0.75">
      <c r="A55" s="18">
        <v>0.24</v>
      </c>
      <c r="B55" s="1">
        <f t="shared" si="5"/>
        <v>0</v>
      </c>
      <c r="C55" s="1">
        <f t="shared" si="5"/>
        <v>1.6099639577049629E-6</v>
      </c>
      <c r="D55" s="1">
        <f t="shared" si="5"/>
        <v>6.3530787297594316E-9</v>
      </c>
      <c r="E55" s="1">
        <f t="shared" si="5"/>
        <v>1.0025106034206033E-7</v>
      </c>
      <c r="F55" s="1">
        <f t="shared" si="5"/>
        <v>1.7216228442862302E-12</v>
      </c>
    </row>
    <row r="56" spans="1:6" x14ac:dyDescent="0.75">
      <c r="A56" s="18">
        <v>0.25</v>
      </c>
      <c r="B56" s="1">
        <f t="shared" si="5"/>
        <v>0</v>
      </c>
      <c r="C56" s="1">
        <f t="shared" si="5"/>
        <v>6.4275035516203616E-7</v>
      </c>
      <c r="D56" s="1">
        <f t="shared" si="5"/>
        <v>1.6348202791505173E-9</v>
      </c>
      <c r="E56" s="1">
        <f t="shared" si="5"/>
        <v>3.2129929050661588E-8</v>
      </c>
      <c r="F56" s="1">
        <f t="shared" si="5"/>
        <v>2.2937207688755734E-13</v>
      </c>
    </row>
  </sheetData>
  <mergeCells count="2">
    <mergeCell ref="A30:A31"/>
    <mergeCell ref="B30:F30"/>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C4DF8CC-2BBA-40E0-ABC5-8DFFFE68C440}"/>
</file>

<file path=customXml/itemProps2.xml><?xml version="1.0" encoding="utf-8"?>
<ds:datastoreItem xmlns:ds="http://schemas.openxmlformats.org/officeDocument/2006/customXml" ds:itemID="{7CFDFFA1-1145-4B5B-9280-EB82A8F0730A}"/>
</file>

<file path=customXml/itemProps3.xml><?xml version="1.0" encoding="utf-8"?>
<ds:datastoreItem xmlns:ds="http://schemas.openxmlformats.org/officeDocument/2006/customXml" ds:itemID="{F5D2D32D-9CEA-42AB-9591-FF801F50E8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E1</vt:lpstr>
      <vt:lpstr>E2</vt:lpstr>
      <vt:lpstr>E3</vt:lpstr>
      <vt:lpstr>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 Ríos Prado</dc:creator>
  <cp:lastModifiedBy>Rosa Ríos Prado</cp:lastModifiedBy>
  <dcterms:created xsi:type="dcterms:W3CDTF">2026-02-16T10:23:02Z</dcterms:created>
  <dcterms:modified xsi:type="dcterms:W3CDTF">2026-03-16T09:17:45Z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