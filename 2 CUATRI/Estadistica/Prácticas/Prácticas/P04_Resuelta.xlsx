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udcgal-my.sharepoint.com/personal/rosa_rios_udc_es/Documents/Clases/Estadistica/Resueltas/"/>
    </mc:Choice>
  </mc:AlternateContent>
  <xr:revisionPtr revIDLastSave="219" documentId="8_{28FE1ED7-7B9E-405E-B2AD-6E52FC474FB4}" xr6:coauthVersionLast="47" xr6:coauthVersionMax="47" xr10:uidLastSave="{985126C8-7FA2-4792-AB52-5301769AE475}"/>
  <bookViews>
    <workbookView xWindow="-90" yWindow="-90" windowWidth="19380" windowHeight="11460" activeTab="7" xr2:uid="{00000000-000D-0000-FFFF-FFFF00000000}"/>
  </bookViews>
  <sheets>
    <sheet name="4.1" sheetId="1" r:id="rId1"/>
    <sheet name="4.4" sheetId="2" r:id="rId2"/>
    <sheet name="4.5" sheetId="3" r:id="rId3"/>
    <sheet name="4.14" sheetId="4" r:id="rId4"/>
    <sheet name="4.7" sheetId="5" r:id="rId5"/>
    <sheet name="4.10" sheetId="11" r:id="rId6"/>
    <sheet name="4.13" sheetId="12" r:id="rId7"/>
    <sheet name="4.11"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2" l="1"/>
  <c r="B19" i="12"/>
  <c r="B23" i="13"/>
  <c r="B21" i="12"/>
  <c r="B18" i="12"/>
  <c r="B29" i="5"/>
  <c r="B18" i="5"/>
  <c r="H14" i="5"/>
  <c r="H13" i="5"/>
  <c r="H12" i="5"/>
  <c r="E14" i="5"/>
  <c r="E13" i="5"/>
  <c r="E12" i="5"/>
  <c r="B13" i="5"/>
  <c r="B12" i="5"/>
  <c r="B40" i="4"/>
  <c r="B39" i="4"/>
  <c r="B33" i="4"/>
  <c r="B28" i="4"/>
  <c r="B13" i="4"/>
  <c r="B23" i="4" s="1"/>
  <c r="B31" i="3"/>
  <c r="B27" i="3"/>
  <c r="B23" i="3"/>
  <c r="B22" i="3"/>
  <c r="B21" i="3"/>
  <c r="D13" i="3"/>
  <c r="D14" i="3"/>
  <c r="D15" i="3"/>
  <c r="D16" i="3"/>
  <c r="D17" i="3"/>
  <c r="D12" i="3"/>
  <c r="C17" i="3"/>
  <c r="C16" i="3"/>
  <c r="C15" i="3"/>
  <c r="C14" i="3"/>
  <c r="C13" i="3"/>
  <c r="C12" i="3"/>
  <c r="B23" i="2"/>
  <c r="B18" i="2"/>
  <c r="B35" i="1"/>
  <c r="B34" i="1"/>
  <c r="B33" i="1"/>
  <c r="B29" i="1"/>
  <c r="B24" i="1"/>
  <c r="B25" i="1"/>
  <c r="B26" i="1"/>
  <c r="B27" i="1"/>
  <c r="B28" i="1"/>
  <c r="B23" i="1"/>
  <c r="B18" i="4" l="1"/>
</calcChain>
</file>

<file path=xl/sharedStrings.xml><?xml version="1.0" encoding="utf-8"?>
<sst xmlns="http://schemas.openxmlformats.org/spreadsheetml/2006/main" count="95" uniqueCount="66">
  <si>
    <t>Apartado a</t>
  </si>
  <si>
    <t>Apartado b</t>
  </si>
  <si>
    <t>Apartado c</t>
  </si>
  <si>
    <r>
      <t>p</t>
    </r>
    <r>
      <rPr>
        <i/>
        <vertAlign val="subscript"/>
        <sz val="16"/>
        <color theme="0"/>
        <rFont val="Calibri"/>
        <family val="2"/>
        <scheme val="minor"/>
      </rPr>
      <t>c</t>
    </r>
  </si>
  <si>
    <t>Apartado d</t>
  </si>
  <si>
    <t>Gráfico</t>
  </si>
  <si>
    <t>x</t>
  </si>
  <si>
    <t>P(X=x)</t>
  </si>
  <si>
    <t>P(X&gt;5)</t>
  </si>
  <si>
    <t>P(par)</t>
  </si>
  <si>
    <t>P(impar)</t>
  </si>
  <si>
    <t>P(X=k)</t>
  </si>
  <si>
    <r>
      <t>P(X</t>
    </r>
    <r>
      <rPr>
        <sz val="16"/>
        <color theme="0"/>
        <rFont val="Aptos Narrow"/>
        <family val="2"/>
      </rPr>
      <t>≥</t>
    </r>
    <r>
      <rPr>
        <i/>
        <sz val="16"/>
        <color theme="0"/>
        <rFont val="Calibri"/>
        <family val="2"/>
      </rPr>
      <t>6)</t>
    </r>
  </si>
  <si>
    <t>E(X)</t>
  </si>
  <si>
    <r>
      <t>E(X</t>
    </r>
    <r>
      <rPr>
        <i/>
        <vertAlign val="superscript"/>
        <sz val="16"/>
        <color theme="0"/>
        <rFont val="Calibri"/>
        <family val="2"/>
        <scheme val="minor"/>
      </rPr>
      <t>2</t>
    </r>
    <r>
      <rPr>
        <i/>
        <sz val="16"/>
        <color theme="0"/>
        <rFont val="Calibri"/>
        <family val="2"/>
        <scheme val="minor"/>
      </rPr>
      <t>)</t>
    </r>
  </si>
  <si>
    <r>
      <t>D</t>
    </r>
    <r>
      <rPr>
        <i/>
        <vertAlign val="superscript"/>
        <sz val="16"/>
        <color theme="0"/>
        <rFont val="Calibri"/>
        <family val="2"/>
        <scheme val="minor"/>
      </rPr>
      <t>2</t>
    </r>
    <r>
      <rPr>
        <i/>
        <sz val="16"/>
        <color theme="0"/>
        <rFont val="Calibri"/>
        <family val="2"/>
        <scheme val="minor"/>
      </rPr>
      <t>(X)</t>
    </r>
  </si>
  <si>
    <t>P(X=par)</t>
  </si>
  <si>
    <r>
      <t>P(2&lt;X</t>
    </r>
    <r>
      <rPr>
        <sz val="16"/>
        <color theme="0"/>
        <rFont val="Aptos Narrow"/>
        <family val="2"/>
      </rPr>
      <t>≤</t>
    </r>
    <r>
      <rPr>
        <i/>
        <sz val="16"/>
        <color theme="0"/>
        <rFont val="Calibri"/>
        <family val="2"/>
      </rPr>
      <t>4</t>
    </r>
    <r>
      <rPr>
        <i/>
        <sz val="16"/>
        <color theme="0"/>
        <rFont val="Calibri"/>
        <family val="2"/>
        <scheme val="minor"/>
      </rPr>
      <t>)</t>
    </r>
  </si>
  <si>
    <r>
      <t>X</t>
    </r>
    <r>
      <rPr>
        <vertAlign val="superscript"/>
        <sz val="16"/>
        <color theme="0"/>
        <rFont val="Calibri"/>
        <family val="2"/>
        <scheme val="minor"/>
      </rPr>
      <t>2</t>
    </r>
  </si>
  <si>
    <t>Apartado e</t>
  </si>
  <si>
    <t>n</t>
  </si>
  <si>
    <t>días</t>
  </si>
  <si>
    <t>Período de garantía</t>
  </si>
  <si>
    <t>ud</t>
  </si>
  <si>
    <r>
      <t>p</t>
    </r>
    <r>
      <rPr>
        <i/>
        <vertAlign val="subscript"/>
        <sz val="16"/>
        <color theme="0"/>
        <rFont val="Calibri"/>
        <family val="2"/>
        <scheme val="minor"/>
      </rPr>
      <t>e</t>
    </r>
  </si>
  <si>
    <t>Tirada 1</t>
  </si>
  <si>
    <t>P(ganar)</t>
  </si>
  <si>
    <t>P(continuar)</t>
  </si>
  <si>
    <t>Tirada 2</t>
  </si>
  <si>
    <t>P(pierde)</t>
  </si>
  <si>
    <t>Tirada 3</t>
  </si>
  <si>
    <t>p(ganar)</t>
  </si>
  <si>
    <t>x=turno de pérdida</t>
  </si>
  <si>
    <t>𝑃(𝑋=1/2)</t>
  </si>
  <si>
    <t>𝑃(1/2&lt;𝑋≤3/4)</t>
  </si>
  <si>
    <t>𝑃(1/2≤𝑋≤3/4)</t>
  </si>
  <si>
    <r>
      <t>P(X&gt;3/4</t>
    </r>
    <r>
      <rPr>
        <sz val="16"/>
        <color theme="0"/>
        <rFont val="Calibri"/>
        <family val="2"/>
        <scheme val="minor"/>
      </rPr>
      <t>│</t>
    </r>
    <r>
      <rPr>
        <i/>
        <sz val="16"/>
        <color theme="0"/>
        <rFont val="Calibri"/>
        <family val="2"/>
        <scheme val="minor"/>
      </rPr>
      <t>X&lt;3/2)</t>
    </r>
  </si>
  <si>
    <t>f(t)</t>
  </si>
  <si>
    <t>P(T≥4│T≥1)</t>
  </si>
  <si>
    <t>X:variables aleatoria número de pruebas hasta error</t>
  </si>
  <si>
    <t>(1-0,0001)^(k-1)*0,0001</t>
  </si>
  <si>
    <t>3/36</t>
  </si>
  <si>
    <t>1/36</t>
  </si>
  <si>
    <t>5/36</t>
  </si>
  <si>
    <t>7/36</t>
  </si>
  <si>
    <t>9/36</t>
  </si>
  <si>
    <t>11/36</t>
  </si>
  <si>
    <t>(2x-1)/36</t>
  </si>
  <si>
    <t>Variable aleatoria</t>
  </si>
  <si>
    <r>
      <t>p</t>
    </r>
    <r>
      <rPr>
        <i/>
        <vertAlign val="subscript"/>
        <sz val="16"/>
        <color theme="0"/>
        <rFont val="Calibri"/>
        <family val="2"/>
        <scheme val="minor"/>
      </rPr>
      <t>a</t>
    </r>
    <r>
      <rPr>
        <i/>
        <sz val="16"/>
        <color theme="0"/>
        <rFont val="Calibri"/>
        <family val="2"/>
        <scheme val="minor"/>
      </rPr>
      <t xml:space="preserve"> </t>
    </r>
  </si>
  <si>
    <r>
      <t>p</t>
    </r>
    <r>
      <rPr>
        <i/>
        <vertAlign val="subscript"/>
        <sz val="16"/>
        <color theme="0"/>
        <rFont val="Calibri"/>
        <family val="2"/>
        <scheme val="minor"/>
      </rPr>
      <t>b</t>
    </r>
    <r>
      <rPr>
        <i/>
        <sz val="16"/>
        <color theme="0"/>
        <rFont val="Calibri"/>
        <family val="2"/>
        <scheme val="minor"/>
      </rPr>
      <t xml:space="preserve"> </t>
    </r>
  </si>
  <si>
    <t>X:vida de un dispositivo en horas</t>
  </si>
  <si>
    <t>p(X&gt;1000)</t>
  </si>
  <si>
    <t>Lambda</t>
  </si>
  <si>
    <t>p(X&lt;200)</t>
  </si>
  <si>
    <r>
      <t>p</t>
    </r>
    <r>
      <rPr>
        <i/>
        <vertAlign val="subscript"/>
        <sz val="16"/>
        <color theme="0"/>
        <rFont val="Calibri"/>
        <family val="2"/>
        <scheme val="minor"/>
      </rPr>
      <t>c</t>
    </r>
    <r>
      <rPr>
        <i/>
        <sz val="16"/>
        <color theme="0"/>
        <rFont val="Calibri"/>
        <family val="2"/>
        <scheme val="minor"/>
      </rPr>
      <t xml:space="preserve"> </t>
    </r>
  </si>
  <si>
    <t>p(600&lt;x&lt;800)</t>
  </si>
  <si>
    <t>p(fallo en garantía)</t>
  </si>
  <si>
    <t>p</t>
  </si>
  <si>
    <t>1/3</t>
  </si>
  <si>
    <t>(4/6)[(1/3)+(1/6)]</t>
  </si>
  <si>
    <t>(4/6)(1/2)[(1/3)+(1/6)]</t>
  </si>
  <si>
    <t>(4/6)(1/2)(1/2)[(1/3)+(1/6)]</t>
  </si>
  <si>
    <t>1/6</t>
  </si>
  <si>
    <t>0</t>
  </si>
  <si>
    <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</si>
</sst>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0"/>
      <name val="Calibri"/>
      <family val="2"/>
      <scheme val="minor"/>
    </font>
    <font>
      <sz val="16"/>
      <color theme="0"/>
      <name val="Calibri"/>
      <family val="2"/>
      <scheme val="minor"/>
    </font>
    <font>
      <sz val="16"/>
      <color theme="1"/>
      <name val="Calibri"/>
      <family val="2"/>
      <scheme val="minor"/>
    </font>
    <font>
      <i/>
      <sz val="16"/>
      <color theme="0"/>
      <name val="Calibri"/>
      <family val="2"/>
      <scheme val="minor"/>
    </font>
    <font>
      <i/>
      <vertAlign val="subscript"/>
      <sz val="16"/>
      <color theme="0"/>
      <name val="Calibri"/>
      <family val="2"/>
      <scheme val="minor"/>
    </font>
    <font>
      <sz val="16"/>
      <color theme="0"/>
      <name val="Aptos Narrow"/>
      <family val="2"/>
    </font>
    <font>
      <i/>
      <sz val="16"/>
      <color theme="0"/>
      <name val="Calibri"/>
      <family val="2"/>
    </font>
    <font>
      <i/>
      <vertAlign val="superscript"/>
      <sz val="16"/>
      <color theme="0"/>
      <name val="Calibri"/>
      <family val="2"/>
      <scheme val="minor"/>
    </font>
    <font>
      <vertAlign val="superscript"/>
      <sz val="16"/>
      <color theme="0"/>
      <name val="Calibri"/>
      <family val="2"/>
      <scheme val="minor"/>
    </font>
  </fonts>
  <fills count="5">
    <fill>
      <patternFill patternType="none"/>
    </fill>
    <fill>
      <patternFill patternType="gray125"/>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s>
  <borders count="3">
    <border>
      <left/>
      <right/>
      <top/>
      <bottom/>
      <diagonal/>
    </border>
    <border>
      <left/>
      <right/>
      <top/>
      <bottom style="double">
        <color theme="4"/>
      </bottom>
      <diagonal/>
    </border>
    <border>
      <left/>
      <right/>
      <top/>
      <bottom style="double">
        <color theme="4" tint="-0.499984740745262"/>
      </bottom>
      <diagonal/>
    </border>
  </borders>
  <cellStyleXfs count="4">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8">
    <xf numFmtId="0" fontId="0" fillId="0" borderId="0" xfId="0"/>
    <xf numFmtId="0" fontId="4" fillId="0" borderId="0" xfId="0" applyFont="1"/>
    <xf numFmtId="0" fontId="4" fillId="0" borderId="1" xfId="0" applyFont="1" applyBorder="1"/>
    <xf numFmtId="0" fontId="5" fillId="2" borderId="0" xfId="1" applyFont="1"/>
    <xf numFmtId="0" fontId="5" fillId="2" borderId="0" xfId="1" applyFont="1" applyAlignment="1">
      <alignment horizontal="left"/>
    </xf>
    <xf numFmtId="0" fontId="5" fillId="2" borderId="0" xfId="1" applyFont="1" applyAlignment="1"/>
    <xf numFmtId="0" fontId="5" fillId="2" borderId="0" xfId="1" applyFont="1" applyAlignment="1">
      <alignment horizontal="center"/>
    </xf>
    <xf numFmtId="0" fontId="1" fillId="3" borderId="0" xfId="2" applyAlignment="1"/>
    <xf numFmtId="0" fontId="4" fillId="0" borderId="0" xfId="0" applyFont="1" applyAlignment="1">
      <alignment horizontal="center"/>
    </xf>
    <xf numFmtId="0" fontId="4" fillId="3" borderId="0" xfId="2" applyFont="1"/>
    <xf numFmtId="49" fontId="4" fillId="3" borderId="0" xfId="2" applyNumberFormat="1" applyFont="1"/>
    <xf numFmtId="0" fontId="4" fillId="3" borderId="0" xfId="2" applyFont="1" applyAlignment="1"/>
    <xf numFmtId="9" fontId="4" fillId="4" borderId="0" xfId="3" applyNumberFormat="1" applyFont="1" applyAlignment="1"/>
    <xf numFmtId="0" fontId="4" fillId="4" borderId="0" xfId="3" applyFont="1" applyAlignment="1"/>
    <xf numFmtId="0" fontId="4" fillId="4" borderId="0" xfId="3" applyFont="1"/>
    <xf numFmtId="49" fontId="4" fillId="3" borderId="0" xfId="2" applyNumberFormat="1" applyFont="1" applyAlignment="1"/>
    <xf numFmtId="0" fontId="4" fillId="0" borderId="2" xfId="0" applyFont="1" applyBorder="1" applyAlignment="1">
      <alignment horizontal="center"/>
    </xf>
    <xf numFmtId="0" fontId="5" fillId="2" borderId="0" xfId="1" applyFont="1" applyAlignment="1">
      <alignment horizontal="center" vertical="center"/>
    </xf>
  </cellXfs>
  <cellStyles count="4">
    <cellStyle name="20% - Énfasis2" xfId="2" builtinId="34"/>
    <cellStyle name="20% - Énfasis3" xfId="3" builtinId="38"/>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Función de probabilidad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cat>
            <c:numRef>
              <c:f>'4.1'!$A$23:$A$28</c:f>
              <c:numCache>
                <c:formatCode>General</c:formatCode>
                <c:ptCount val="6"/>
                <c:pt idx="0">
                  <c:v>0</c:v>
                </c:pt>
                <c:pt idx="1">
                  <c:v>1</c:v>
                </c:pt>
                <c:pt idx="2">
                  <c:v>2</c:v>
                </c:pt>
                <c:pt idx="3">
                  <c:v>3</c:v>
                </c:pt>
                <c:pt idx="4">
                  <c:v>4</c:v>
                </c:pt>
                <c:pt idx="5">
                  <c:v>5</c:v>
                </c:pt>
              </c:numCache>
            </c:numRef>
          </c:cat>
          <c:val>
            <c:numRef>
              <c:f>'4.1'!$B$23:$B$28</c:f>
              <c:numCache>
                <c:formatCode>General</c:formatCode>
                <c:ptCount val="6"/>
                <c:pt idx="0">
                  <c:v>0.66666666666666663</c:v>
                </c:pt>
                <c:pt idx="1">
                  <c:v>0.22222222222222221</c:v>
                </c:pt>
                <c:pt idx="2">
                  <c:v>7.407407407407407E-2</c:v>
                </c:pt>
                <c:pt idx="3">
                  <c:v>2.4691358024691357E-2</c:v>
                </c:pt>
                <c:pt idx="4">
                  <c:v>8.23045267489712E-3</c:v>
                </c:pt>
                <c:pt idx="5">
                  <c:v>2.7434842249657062E-3</c:v>
                </c:pt>
              </c:numCache>
            </c:numRef>
          </c:val>
          <c:extLst>
            <c:ext xmlns:c16="http://schemas.microsoft.com/office/drawing/2014/chart" uri="{C3380CC4-5D6E-409C-BE32-E72D297353CC}">
              <c16:uniqueId val="{00000000-8871-452E-BBA7-2F816802BC25}"/>
            </c:ext>
          </c:extLst>
        </c:ser>
        <c:dLbls>
          <c:showLegendKey val="0"/>
          <c:showVal val="0"/>
          <c:showCatName val="0"/>
          <c:showSerName val="0"/>
          <c:showPercent val="0"/>
          <c:showBubbleSize val="0"/>
        </c:dLbls>
        <c:gapWidth val="219"/>
        <c:overlap val="-27"/>
        <c:axId val="1760194176"/>
        <c:axId val="1760208576"/>
      </c:barChart>
      <c:catAx>
        <c:axId val="176019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60208576"/>
        <c:crosses val="autoZero"/>
        <c:auto val="1"/>
        <c:lblAlgn val="ctr"/>
        <c:lblOffset val="100"/>
        <c:noMultiLvlLbl val="0"/>
      </c:catAx>
      <c:valAx>
        <c:axId val="176020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60194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83332</xdr:colOff>
      <xdr:row>18</xdr:row>
      <xdr:rowOff>35169</xdr:rowOff>
    </xdr:to>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827531" cy="488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4-1.</a:t>
              </a:r>
              <a:r>
                <a:rPr lang="es-ES_tradnl" sz="1600">
                  <a:solidFill>
                    <a:schemeClr val="dk1"/>
                  </a:solidFill>
                  <a:effectLst/>
                  <a:latin typeface="+mn-lt"/>
                  <a:ea typeface="+mn-ea"/>
                  <a:cs typeface="+mn-cs"/>
                </a:rPr>
                <a:t> Por experimentación se ha determinado que el número de veces que un interruptor de luz funciona antes de ser desechado es una variable aleatoria X con la siguiente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600" i="1">
                        <a:solidFill>
                          <a:schemeClr val="dk1"/>
                        </a:solidFill>
                        <a:effectLst/>
                        <a:latin typeface="Cambria Math" panose="02040503050406030204" pitchFamily="18" charset="0"/>
                        <a:ea typeface="+mn-ea"/>
                        <a:cs typeface="+mn-cs"/>
                      </a:rPr>
                      <m:t>𝑃</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𝑋</m:t>
                        </m:r>
                        <m:r>
                          <a:rPr lang="es-ES_tradnl" sz="1600" i="1">
                            <a:solidFill>
                              <a:schemeClr val="dk1"/>
                            </a:solidFill>
                            <a:effectLst/>
                            <a:latin typeface="Cambria Math" panose="02040503050406030204" pitchFamily="18" charset="0"/>
                            <a:ea typeface="+mn-ea"/>
                            <a:cs typeface="+mn-cs"/>
                          </a:rPr>
                          <m:t>=</m:t>
                        </m:r>
                        <m:r>
                          <a:rPr lang="es-ES_tradnl" sz="1600" i="1">
                            <a:solidFill>
                              <a:schemeClr val="dk1"/>
                            </a:solidFill>
                            <a:effectLst/>
                            <a:latin typeface="Cambria Math" panose="02040503050406030204" pitchFamily="18" charset="0"/>
                            <a:ea typeface="+mn-ea"/>
                            <a:cs typeface="+mn-cs"/>
                          </a:rPr>
                          <m:t>𝑘</m:t>
                        </m:r>
                      </m:e>
                    </m:d>
                    <m:r>
                      <a:rPr lang="es-ES_tradnl" sz="1600" i="1">
                        <a:solidFill>
                          <a:schemeClr val="dk1"/>
                        </a:solidFill>
                        <a:effectLst/>
                        <a:latin typeface="Cambria Math" panose="02040503050406030204" pitchFamily="18" charset="0"/>
                        <a:ea typeface="+mn-ea"/>
                        <a:cs typeface="+mn-cs"/>
                      </a:rPr>
                      <m:t>=</m:t>
                    </m:r>
                    <m:f>
                      <m:fPr>
                        <m:ctrlPr>
                          <a:rPr lang="es-ES" sz="1600" i="1">
                            <a:solidFill>
                              <a:schemeClr val="dk1"/>
                            </a:solidFill>
                            <a:effectLst/>
                            <a:latin typeface="Cambria Math" panose="02040503050406030204" pitchFamily="18" charset="0"/>
                            <a:ea typeface="+mn-ea"/>
                            <a:cs typeface="+mn-cs"/>
                          </a:rPr>
                        </m:ctrlPr>
                      </m:fPr>
                      <m:num>
                        <m:r>
                          <a:rPr lang="es-ES_tradnl" sz="1600" i="1">
                            <a:solidFill>
                              <a:schemeClr val="dk1"/>
                            </a:solidFill>
                            <a:effectLst/>
                            <a:latin typeface="Cambria Math" panose="02040503050406030204" pitchFamily="18" charset="0"/>
                            <a:ea typeface="+mn-ea"/>
                            <a:cs typeface="+mn-cs"/>
                          </a:rPr>
                          <m:t>2</m:t>
                        </m:r>
                      </m:num>
                      <m:den>
                        <m:sSup>
                          <m:sSupPr>
                            <m:ctrlPr>
                              <a:rPr lang="es-ES" sz="1600" i="1">
                                <a:solidFill>
                                  <a:schemeClr val="dk1"/>
                                </a:solidFill>
                                <a:effectLst/>
                                <a:latin typeface="Cambria Math" panose="02040503050406030204" pitchFamily="18" charset="0"/>
                                <a:ea typeface="+mn-ea"/>
                                <a:cs typeface="+mn-cs"/>
                              </a:rPr>
                            </m:ctrlPr>
                          </m:sSupPr>
                          <m:e>
                            <m:r>
                              <a:rPr lang="es-ES_tradnl" sz="1600" i="1">
                                <a:solidFill>
                                  <a:schemeClr val="dk1"/>
                                </a:solidFill>
                                <a:effectLst/>
                                <a:latin typeface="Cambria Math" panose="02040503050406030204" pitchFamily="18" charset="0"/>
                                <a:ea typeface="+mn-ea"/>
                                <a:cs typeface="+mn-cs"/>
                              </a:rPr>
                              <m:t>3</m:t>
                            </m:r>
                          </m:e>
                          <m:sup>
                            <m:r>
                              <a:rPr lang="es-ES_tradnl" sz="1600" i="1">
                                <a:solidFill>
                                  <a:schemeClr val="dk1"/>
                                </a:solidFill>
                                <a:effectLst/>
                                <a:latin typeface="Cambria Math" panose="02040503050406030204" pitchFamily="18" charset="0"/>
                                <a:ea typeface="+mn-ea"/>
                                <a:cs typeface="+mn-cs"/>
                              </a:rPr>
                              <m:t>𝑘</m:t>
                            </m:r>
                            <m:r>
                              <a:rPr lang="es-ES_tradnl" sz="1600" i="1">
                                <a:solidFill>
                                  <a:schemeClr val="dk1"/>
                                </a:solidFill>
                                <a:effectLst/>
                                <a:latin typeface="Cambria Math" panose="02040503050406030204" pitchFamily="18" charset="0"/>
                                <a:ea typeface="+mn-ea"/>
                                <a:cs typeface="+mn-cs"/>
                              </a:rPr>
                              <m:t>+1</m:t>
                            </m:r>
                          </m:sup>
                        </m:sSup>
                      </m:den>
                    </m:f>
                    <m:r>
                      <a:rPr lang="es-ES_tradnl" sz="1600" i="1">
                        <a:solidFill>
                          <a:schemeClr val="dk1"/>
                        </a:solidFill>
                        <a:effectLst/>
                        <a:latin typeface="Cambria Math" panose="02040503050406030204" pitchFamily="18" charset="0"/>
                        <a:ea typeface="+mn-ea"/>
                        <a:cs typeface="+mn-cs"/>
                      </a:rPr>
                      <m:t>     </m:t>
                    </m:r>
                    <m:r>
                      <a:rPr lang="es-ES_tradnl" sz="1600" i="1">
                        <a:solidFill>
                          <a:schemeClr val="dk1"/>
                        </a:solidFill>
                        <a:effectLst/>
                        <a:latin typeface="Cambria Math" panose="02040503050406030204" pitchFamily="18" charset="0"/>
                        <a:ea typeface="+mn-ea"/>
                        <a:cs typeface="+mn-cs"/>
                      </a:rPr>
                      <m:t>𝑘</m:t>
                    </m:r>
                    <m:r>
                      <a:rPr lang="es-ES_tradnl" sz="1600" i="1">
                        <a:solidFill>
                          <a:schemeClr val="dk1"/>
                        </a:solidFill>
                        <a:effectLst/>
                        <a:latin typeface="Cambria Math" panose="02040503050406030204" pitchFamily="18" charset="0"/>
                        <a:ea typeface="+mn-ea"/>
                        <a:cs typeface="+mn-cs"/>
                      </a:rPr>
                      <m:t>=0,1,2,…</m:t>
                    </m:r>
                  </m:oMath>
                </m:oMathPara>
              </a14:m>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a)Representar gráficamente la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b)¿Cuál es la probabilidad de que el número de veces que el interruptor funcione antes de ser desechado sea:</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*mayor de 5</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par (incluido el cero)</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impar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c)Para cualquier entero b, sea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𝑏</m:t>
                      </m:r>
                    </m:e>
                  </m:d>
                </m:oMath>
              </a14:m>
              <a:r>
                <a:rPr lang="es-ES_tradnl" sz="1600">
                  <a:solidFill>
                    <a:schemeClr val="dk1"/>
                  </a:solidFill>
                  <a:effectLst/>
                  <a:latin typeface="+mn-lt"/>
                  <a:ea typeface="+mn-ea"/>
                  <a:cs typeface="+mn-cs"/>
                </a:rPr>
                <a:t> el suceso tal que el número de veces que el interruptor funciona es estrictamente mayor o igual que b. Calcular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𝑃</m:t>
                  </m:r>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𝑏</m:t>
                          </m:r>
                        </m:e>
                      </m:d>
                    </m:e>
                  </m:d>
                </m:oMath>
              </a14:m>
              <a:r>
                <a:rPr lang="es-ES_tradnl" sz="1600">
                  <a:solidFill>
                    <a:schemeClr val="dk1"/>
                  </a:solidFill>
                  <a:effectLst/>
                  <a:latin typeface="+mn-lt"/>
                  <a:ea typeface="+mn-ea"/>
                  <a:cs typeface="+mn-cs"/>
                </a:rPr>
                <a:t>. Demostrar que para cualquier par de enteros positivos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𝑎</m:t>
                  </m:r>
                  <m:r>
                    <a:rPr lang="es-ES_tradnl" sz="1600" i="1">
                      <a:solidFill>
                        <a:schemeClr val="dk1"/>
                      </a:solidFill>
                      <a:effectLst/>
                      <a:latin typeface="Cambria Math" panose="02040503050406030204" pitchFamily="18" charset="0"/>
                      <a:ea typeface="+mn-ea"/>
                      <a:cs typeface="+mn-cs"/>
                    </a:rPr>
                    <m:t>&gt;0</m:t>
                  </m:r>
                </m:oMath>
              </a14:m>
              <a:r>
                <a:rPr lang="es-ES_tradnl" sz="1600">
                  <a:solidFill>
                    <a:schemeClr val="dk1"/>
                  </a:solidFill>
                  <a:effectLst/>
                  <a:latin typeface="+mn-lt"/>
                  <a:ea typeface="+mn-ea"/>
                  <a:cs typeface="+mn-cs"/>
                </a:rPr>
                <a:t> y </a:t>
              </a:r>
              <a14:m>
                <m:oMath xmlns:m="http://schemas.openxmlformats.org/officeDocument/2006/math">
                  <m:r>
                    <a:rPr lang="es-ES_tradnl" sz="1600" i="1">
                      <a:solidFill>
                        <a:schemeClr val="dk1"/>
                      </a:solidFill>
                      <a:effectLst/>
                      <a:latin typeface="Cambria Math" panose="02040503050406030204" pitchFamily="18" charset="0"/>
                      <a:ea typeface="+mn-ea"/>
                      <a:cs typeface="+mn-cs"/>
                    </a:rPr>
                    <m:t>𝑏</m:t>
                  </m:r>
                  <m:r>
                    <a:rPr lang="es-ES_tradnl" sz="1600" i="1">
                      <a:solidFill>
                        <a:schemeClr val="dk1"/>
                      </a:solidFill>
                      <a:effectLst/>
                      <a:latin typeface="Cambria Math" panose="02040503050406030204" pitchFamily="18" charset="0"/>
                      <a:ea typeface="+mn-ea"/>
                      <a:cs typeface="+mn-cs"/>
                    </a:rPr>
                    <m:t>&gt;0</m:t>
                  </m:r>
                </m:oMath>
              </a14:m>
              <a:r>
                <a:rPr lang="es-ES_tradnl" sz="1600">
                  <a:solidFill>
                    <a:schemeClr val="dk1"/>
                  </a:solidFill>
                  <a:effectLst/>
                  <a:latin typeface="+mn-lt"/>
                  <a:ea typeface="+mn-ea"/>
                  <a:cs typeface="+mn-cs"/>
                </a:rPr>
                <a:t> se cumple:</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600" i="1">
                        <a:solidFill>
                          <a:schemeClr val="dk1"/>
                        </a:solidFill>
                        <a:effectLst/>
                        <a:latin typeface="Cambria Math" panose="02040503050406030204" pitchFamily="18" charset="0"/>
                        <a:ea typeface="+mn-ea"/>
                        <a:cs typeface="+mn-cs"/>
                      </a:rPr>
                      <m:t>𝑃</m:t>
                    </m:r>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𝑎</m:t>
                            </m:r>
                            <m:r>
                              <a:rPr lang="es-ES_tradnl" sz="1600" i="1">
                                <a:solidFill>
                                  <a:schemeClr val="dk1"/>
                                </a:solidFill>
                                <a:effectLst/>
                                <a:latin typeface="Cambria Math" panose="02040503050406030204" pitchFamily="18" charset="0"/>
                                <a:ea typeface="+mn-ea"/>
                                <a:cs typeface="+mn-cs"/>
                              </a:rPr>
                              <m:t>+</m:t>
                            </m:r>
                            <m:r>
                              <a:rPr lang="es-ES_tradnl" sz="1600" i="1">
                                <a:solidFill>
                                  <a:schemeClr val="dk1"/>
                                </a:solidFill>
                                <a:effectLst/>
                                <a:latin typeface="Cambria Math" panose="02040503050406030204" pitchFamily="18" charset="0"/>
                                <a:ea typeface="+mn-ea"/>
                                <a:cs typeface="+mn-cs"/>
                              </a:rPr>
                              <m:t>𝑏</m:t>
                            </m:r>
                          </m:e>
                        </m:d>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𝑎</m:t>
                                </m:r>
                              </m:e>
                            </m:d>
                          </m:e>
                        </m:d>
                      </m:e>
                    </m:d>
                    <m:r>
                      <a:rPr lang="es-ES_tradnl" sz="1600" i="1">
                        <a:solidFill>
                          <a:schemeClr val="dk1"/>
                        </a:solidFill>
                        <a:effectLst/>
                        <a:latin typeface="Cambria Math" panose="02040503050406030204" pitchFamily="18" charset="0"/>
                        <a:ea typeface="+mn-ea"/>
                        <a:cs typeface="+mn-cs"/>
                      </a:rPr>
                      <m:t>=</m:t>
                    </m:r>
                    <m:r>
                      <a:rPr lang="es-ES_tradnl" sz="1600" i="1">
                        <a:solidFill>
                          <a:schemeClr val="dk1"/>
                        </a:solidFill>
                        <a:effectLst/>
                        <a:latin typeface="Cambria Math" panose="02040503050406030204" pitchFamily="18" charset="0"/>
                        <a:ea typeface="+mn-ea"/>
                        <a:cs typeface="+mn-cs"/>
                      </a:rPr>
                      <m:t>𝑃</m:t>
                    </m:r>
                    <m:d>
                      <m:dPr>
                        <m:begChr m:val="["/>
                        <m:endChr m:val="]"/>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𝐴</m:t>
                        </m:r>
                        <m:d>
                          <m:dPr>
                            <m:ctrlPr>
                              <a:rPr lang="es-ES" sz="1600" i="1">
                                <a:solidFill>
                                  <a:schemeClr val="dk1"/>
                                </a:solidFill>
                                <a:effectLst/>
                                <a:latin typeface="Cambria Math" panose="02040503050406030204" pitchFamily="18" charset="0"/>
                                <a:ea typeface="+mn-ea"/>
                                <a:cs typeface="+mn-cs"/>
                              </a:rPr>
                            </m:ctrlPr>
                          </m:dPr>
                          <m:e>
                            <m:r>
                              <a:rPr lang="es-ES_tradnl" sz="1600" i="1">
                                <a:solidFill>
                                  <a:schemeClr val="dk1"/>
                                </a:solidFill>
                                <a:effectLst/>
                                <a:latin typeface="Cambria Math" panose="02040503050406030204" pitchFamily="18" charset="0"/>
                                <a:ea typeface="+mn-ea"/>
                                <a:cs typeface="+mn-cs"/>
                              </a:rPr>
                              <m:t>𝑏</m:t>
                            </m:r>
                          </m:e>
                        </m:d>
                      </m:e>
                    </m:d>
                  </m:oMath>
                </m:oMathPara>
              </a14:m>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Explique el significado de esta fórmula.</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mc:Choice>
      <mc:Fallback xmlns="">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827531" cy="488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4-1.</a:t>
              </a:r>
              <a:r>
                <a:rPr lang="es-ES_tradnl" sz="1600">
                  <a:solidFill>
                    <a:schemeClr val="dk1"/>
                  </a:solidFill>
                  <a:effectLst/>
                  <a:latin typeface="+mn-lt"/>
                  <a:ea typeface="+mn-ea"/>
                  <a:cs typeface="+mn-cs"/>
                </a:rPr>
                <a:t> Por experimentación se ha determinado que el número de veces que un interruptor de luz funciona antes de ser desechado es una variable aleatoria X con la siguiente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i="0">
                  <a:solidFill>
                    <a:schemeClr val="dk1"/>
                  </a:solidFill>
                  <a:effectLst/>
                  <a:latin typeface="+mn-lt"/>
                  <a:ea typeface="+mn-ea"/>
                  <a:cs typeface="+mn-cs"/>
                </a:rPr>
                <a:t>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𝑋=𝑘)=2</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3</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𝑘+1</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       𝑘=0,1,2,…</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a)Representar gráficamente la función de probabilidad.</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b)¿Cuál es la probabilidad de que el número de veces que el interruptor funcione antes de ser desechado sea:</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*mayor de 5</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par (incluido el cero)</a:t>
              </a:r>
              <a:endParaRPr lang="es-ES" sz="1600">
                <a:solidFill>
                  <a:schemeClr val="dk1"/>
                </a:solidFill>
                <a:effectLst/>
                <a:latin typeface="+mn-lt"/>
                <a:ea typeface="+mn-ea"/>
                <a:cs typeface="+mn-cs"/>
              </a:endParaRPr>
            </a:p>
            <a:p>
              <a:pPr lvl="1"/>
              <a:r>
                <a:rPr lang="es-ES_tradnl" sz="1600">
                  <a:solidFill>
                    <a:schemeClr val="dk1"/>
                  </a:solidFill>
                  <a:effectLst/>
                  <a:latin typeface="+mn-lt"/>
                  <a:ea typeface="+mn-ea"/>
                  <a:cs typeface="+mn-cs"/>
                </a:rPr>
                <a:t>*un número impar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c)Para cualquier entero b, sea </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𝑏)</a:t>
              </a:r>
              <a:r>
                <a:rPr lang="es-ES_tradnl" sz="1600">
                  <a:solidFill>
                    <a:schemeClr val="dk1"/>
                  </a:solidFill>
                  <a:effectLst/>
                  <a:latin typeface="+mn-lt"/>
                  <a:ea typeface="+mn-ea"/>
                  <a:cs typeface="+mn-cs"/>
                </a:rPr>
                <a:t> el suceso tal que el número de veces que el interruptor funciona es estrictamente mayor o igual que b. Calcular </a:t>
              </a:r>
              <a:r>
                <a:rPr lang="es-ES_tradnl" sz="1600" i="0">
                  <a:solidFill>
                    <a:schemeClr val="dk1"/>
                  </a:solidFill>
                  <a:effectLst/>
                  <a:latin typeface="+mn-lt"/>
                  <a:ea typeface="+mn-ea"/>
                  <a:cs typeface="+mn-cs"/>
                </a:rPr>
                <a:t>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𝑏)]</a:t>
              </a:r>
              <a:r>
                <a:rPr lang="es-ES_tradnl" sz="1600">
                  <a:solidFill>
                    <a:schemeClr val="dk1"/>
                  </a:solidFill>
                  <a:effectLst/>
                  <a:latin typeface="+mn-lt"/>
                  <a:ea typeface="+mn-ea"/>
                  <a:cs typeface="+mn-cs"/>
                </a:rPr>
                <a:t>. Demostrar que para cualquier par de enteros positivos </a:t>
              </a:r>
              <a:r>
                <a:rPr lang="es-ES_tradnl" sz="1600" i="0">
                  <a:solidFill>
                    <a:schemeClr val="dk1"/>
                  </a:solidFill>
                  <a:effectLst/>
                  <a:latin typeface="+mn-lt"/>
                  <a:ea typeface="+mn-ea"/>
                  <a:cs typeface="+mn-cs"/>
                </a:rPr>
                <a:t>𝑎&gt;0</a:t>
              </a:r>
              <a:r>
                <a:rPr lang="es-ES_tradnl" sz="1600">
                  <a:solidFill>
                    <a:schemeClr val="dk1"/>
                  </a:solidFill>
                  <a:effectLst/>
                  <a:latin typeface="+mn-lt"/>
                  <a:ea typeface="+mn-ea"/>
                  <a:cs typeface="+mn-cs"/>
                </a:rPr>
                <a:t> y </a:t>
              </a:r>
              <a:r>
                <a:rPr lang="es-ES_tradnl" sz="1600" i="0">
                  <a:solidFill>
                    <a:schemeClr val="dk1"/>
                  </a:solidFill>
                  <a:effectLst/>
                  <a:latin typeface="+mn-lt"/>
                  <a:ea typeface="+mn-ea"/>
                  <a:cs typeface="+mn-cs"/>
                </a:rPr>
                <a:t>𝑏&gt;0</a:t>
              </a:r>
              <a:r>
                <a:rPr lang="es-ES_tradnl" sz="1600">
                  <a:solidFill>
                    <a:schemeClr val="dk1"/>
                  </a:solidFill>
                  <a:effectLst/>
                  <a:latin typeface="+mn-lt"/>
                  <a:ea typeface="+mn-ea"/>
                  <a:cs typeface="+mn-cs"/>
                </a:rPr>
                <a:t> se cumple:</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i="0">
                  <a:solidFill>
                    <a:schemeClr val="dk1"/>
                  </a:solidFill>
                  <a:effectLst/>
                  <a:latin typeface="+mn-lt"/>
                  <a:ea typeface="+mn-ea"/>
                  <a:cs typeface="+mn-cs"/>
                </a:rPr>
                <a:t>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𝑎+𝑏)</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𝑎)┤]=𝑃</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𝐴</a:t>
              </a:r>
              <a:r>
                <a:rPr lang="es-ES" sz="1600" i="0">
                  <a:solidFill>
                    <a:schemeClr val="dk1"/>
                  </a:solidFill>
                  <a:effectLst/>
                  <a:latin typeface="+mn-lt"/>
                  <a:ea typeface="+mn-ea"/>
                  <a:cs typeface="+mn-cs"/>
                </a:rPr>
                <a:t>(</a:t>
              </a:r>
              <a:r>
                <a:rPr lang="es-ES_tradnl" sz="1600" i="0">
                  <a:solidFill>
                    <a:schemeClr val="dk1"/>
                  </a:solidFill>
                  <a:effectLst/>
                  <a:latin typeface="+mn-lt"/>
                  <a:ea typeface="+mn-ea"/>
                  <a:cs typeface="+mn-cs"/>
                </a:rPr>
                <a:t>𝑏)]</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Explique el significado de esta fórmula.</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mc:Fallback>
    </mc:AlternateContent>
    <xdr:clientData/>
  </xdr:twoCellAnchor>
  <xdr:twoCellAnchor>
    <xdr:from>
      <xdr:col>4</xdr:col>
      <xdr:colOff>318722</xdr:colOff>
      <xdr:row>20</xdr:row>
      <xdr:rowOff>203689</xdr:rowOff>
    </xdr:from>
    <xdr:to>
      <xdr:col>12</xdr:col>
      <xdr:colOff>201491</xdr:colOff>
      <xdr:row>32</xdr:row>
      <xdr:rowOff>1465</xdr:rowOff>
    </xdr:to>
    <xdr:graphicFrame macro="">
      <xdr:nvGraphicFramePr>
        <xdr:cNvPr id="2" name="Gráfico 1">
          <a:extLst>
            <a:ext uri="{FF2B5EF4-FFF2-40B4-BE49-F238E27FC236}">
              <a16:creationId xmlns:a16="http://schemas.microsoft.com/office/drawing/2014/main" id="{A548C085-E19F-C378-A0AF-D1F6586D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11724</xdr:colOff>
      <xdr:row>9</xdr:row>
      <xdr:rowOff>105410</xdr:rowOff>
    </xdr:to>
    <xdr:sp macro="" textlink="">
      <xdr:nvSpPr>
        <xdr:cNvPr id="2" name="CuadroTexto 1">
          <a:extLst>
            <a:ext uri="{FF2B5EF4-FFF2-40B4-BE49-F238E27FC236}">
              <a16:creationId xmlns:a16="http://schemas.microsoft.com/office/drawing/2014/main" id="{3AB29412-7BBD-41F2-A05E-20A634D40D4F}"/>
            </a:ext>
          </a:extLst>
        </xdr:cNvPr>
        <xdr:cNvSpPr txBox="1"/>
      </xdr:nvSpPr>
      <xdr:spPr>
        <a:xfrm>
          <a:off x="1" y="0"/>
          <a:ext cx="10890738" cy="1723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4-4.</a:t>
          </a:r>
          <a:r>
            <a:rPr lang="es-ES_tradnl" sz="1600">
              <a:solidFill>
                <a:schemeClr val="dk1"/>
              </a:solidFill>
              <a:effectLst/>
              <a:latin typeface="+mn-lt"/>
              <a:ea typeface="+mn-ea"/>
              <a:cs typeface="+mn-cs"/>
            </a:rPr>
            <a:t> El fabricante de un lector óptico de diodos empleado en leer las etiquetas de códigos de barras de los artículos vendidos en un supermercado asegura que la probabilidad de que el lector lea mal una etiqueta e interprete mal el código de barras es 0.0001. Sea X la variable aleatoria que representa el número de pruebas hasta que se observa un error en la lectura. Se supone que las diferentes lecturas o pruebas son independientes.</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a) Calcular la distribución de probabilidad de X.</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b) ¿Cuál es la probabilidad de que el lector lea bien por lo menos los cinco primeros códigos?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c)</a:t>
          </a:r>
          <a:r>
            <a:rPr lang="es-ES_tradnl" sz="1600" baseline="0">
              <a:solidFill>
                <a:schemeClr val="dk1"/>
              </a:solidFill>
              <a:effectLst/>
              <a:latin typeface="+mn-lt"/>
              <a:ea typeface="+mn-ea"/>
              <a:cs typeface="+mn-cs"/>
            </a:rPr>
            <a:t> </a:t>
          </a:r>
          <a:r>
            <a:rPr lang="es-ES_tradnl" sz="1600">
              <a:solidFill>
                <a:schemeClr val="dk1"/>
              </a:solidFill>
              <a:effectLst/>
              <a:latin typeface="+mn-lt"/>
              <a:ea typeface="+mn-ea"/>
              <a:cs typeface="+mn-cs"/>
            </a:rPr>
            <a:t>Suponiendo que se lee mal el tercer código, ¿cuál sería su opinión acerca de lo que afirma el fabricante? Razone la respuesta.</a:t>
          </a:r>
          <a:endParaRPr lang="es-ES" sz="1600">
            <a:solidFill>
              <a:schemeClr val="dk1"/>
            </a:solidFill>
            <a:effectLst/>
            <a:latin typeface="+mn-lt"/>
            <a:ea typeface="+mn-ea"/>
            <a:cs typeface="+mn-cs"/>
          </a:endParaRPr>
        </a:p>
        <a:p>
          <a:endParaRPr lang="es-E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46991</xdr:colOff>
      <xdr:row>6</xdr:row>
      <xdr:rowOff>199696</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7FF32506-BCD3-462A-99FE-84BC0D5B419A}"/>
                </a:ext>
              </a:extLst>
            </xdr:cNvPr>
            <xdr:cNvSpPr txBox="1"/>
          </xdr:nvSpPr>
          <xdr:spPr>
            <a:xfrm>
              <a:off x="1" y="0"/>
              <a:ext cx="11597859" cy="1807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4-5.</a:t>
              </a:r>
              <a:r>
                <a:rPr lang="es-ES_tradnl" sz="1400">
                  <a:solidFill>
                    <a:schemeClr val="dk1"/>
                  </a:solidFill>
                  <a:effectLst/>
                  <a:latin typeface="+mn-lt"/>
                  <a:ea typeface="+mn-ea"/>
                  <a:cs typeface="+mn-cs"/>
                </a:rPr>
                <a:t> Se lanzan dos dados, obteniéndose las puntuaciones </a:t>
              </a:r>
              <a14:m>
                <m:oMath xmlns:m="http://schemas.openxmlformats.org/officeDocument/2006/math">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1</m:t>
                      </m:r>
                    </m:sub>
                  </m:sSub>
                </m:oMath>
              </a14:m>
              <a:r>
                <a:rPr lang="es-ES_tradnl" sz="1400">
                  <a:solidFill>
                    <a:schemeClr val="dk1"/>
                  </a:solidFill>
                  <a:effectLst/>
                  <a:latin typeface="+mn-lt"/>
                  <a:ea typeface="+mn-ea"/>
                  <a:cs typeface="+mn-cs"/>
                </a:rPr>
                <a:t> y </a:t>
              </a:r>
              <a14:m>
                <m:oMath xmlns:m="http://schemas.openxmlformats.org/officeDocument/2006/math">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2</m:t>
                      </m:r>
                    </m:sub>
                  </m:sSub>
                </m:oMath>
              </a14:m>
              <a:r>
                <a:rPr lang="es-ES_tradnl" sz="1400">
                  <a:solidFill>
                    <a:schemeClr val="dk1"/>
                  </a:solidFill>
                  <a:effectLst/>
                  <a:latin typeface="+mn-lt"/>
                  <a:ea typeface="+mn-ea"/>
                  <a:cs typeface="+mn-cs"/>
                </a:rPr>
                <a:t>. Se define la variable aleatoria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𝑋</m:t>
                  </m:r>
                </m:oMath>
              </a14:m>
              <a:r>
                <a:rPr lang="es-ES_tradnl" sz="1400">
                  <a:solidFill>
                    <a:schemeClr val="dk1"/>
                  </a:solidFill>
                  <a:effectLst/>
                  <a:latin typeface="+mn-lt"/>
                  <a:ea typeface="+mn-ea"/>
                  <a:cs typeface="+mn-cs"/>
                </a:rPr>
                <a:t> como el mayor valor obtenido en el lanzamiento, es decir,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unc>
                    <m:funcPr>
                      <m:ctrlPr>
                        <a:rPr lang="es-ES" sz="1400" i="1">
                          <a:solidFill>
                            <a:schemeClr val="dk1"/>
                          </a:solidFill>
                          <a:effectLst/>
                          <a:latin typeface="Cambria Math" panose="02040503050406030204" pitchFamily="18" charset="0"/>
                          <a:ea typeface="+mn-ea"/>
                          <a:cs typeface="+mn-cs"/>
                        </a:rPr>
                      </m:ctrlPr>
                    </m:funcPr>
                    <m:fName>
                      <m:r>
                        <m:rPr>
                          <m:sty m:val="p"/>
                        </m:rPr>
                        <a:rPr lang="es-ES_tradnl" sz="1400">
                          <a:solidFill>
                            <a:schemeClr val="dk1"/>
                          </a:solidFill>
                          <a:effectLst/>
                          <a:latin typeface="Cambria Math" panose="02040503050406030204" pitchFamily="18" charset="0"/>
                          <a:ea typeface="+mn-ea"/>
                          <a:cs typeface="+mn-cs"/>
                        </a:rPr>
                        <m:t>max</m:t>
                      </m:r>
                    </m:fName>
                    <m:e>
                      <m:d>
                        <m:dPr>
                          <m:ctrlPr>
                            <a:rPr lang="es-ES" sz="1400" i="1">
                              <a:solidFill>
                                <a:schemeClr val="dk1"/>
                              </a:solidFill>
                              <a:effectLst/>
                              <a:latin typeface="Cambria Math" panose="02040503050406030204" pitchFamily="18" charset="0"/>
                              <a:ea typeface="+mn-ea"/>
                              <a:cs typeface="+mn-cs"/>
                            </a:rPr>
                          </m:ctrlPr>
                        </m:dPr>
                        <m:e>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1</m:t>
                              </m:r>
                            </m:sub>
                          </m:sSub>
                          <m:r>
                            <a:rPr lang="es-ES_tradnl" sz="1400" i="1">
                              <a:solidFill>
                                <a:schemeClr val="dk1"/>
                              </a:solidFill>
                              <a:effectLst/>
                              <a:latin typeface="Cambria Math" panose="02040503050406030204" pitchFamily="18" charset="0"/>
                              <a:ea typeface="+mn-ea"/>
                              <a:cs typeface="+mn-cs"/>
                            </a:rPr>
                            <m:t>,</m:t>
                          </m:r>
                          <m:sSub>
                            <m:sSubPr>
                              <m:ctrlPr>
                                <a:rPr lang="es-ES" sz="1400" i="1">
                                  <a:solidFill>
                                    <a:schemeClr val="dk1"/>
                                  </a:solidFill>
                                  <a:effectLst/>
                                  <a:latin typeface="Cambria Math" panose="02040503050406030204" pitchFamily="18" charset="0"/>
                                  <a:ea typeface="+mn-ea"/>
                                  <a:cs typeface="+mn-cs"/>
                                </a:rPr>
                              </m:ctrlPr>
                            </m:sSubPr>
                            <m:e>
                              <m:r>
                                <a:rPr lang="es-ES_tradnl" sz="1400" i="1">
                                  <a:solidFill>
                                    <a:schemeClr val="dk1"/>
                                  </a:solidFill>
                                  <a:effectLst/>
                                  <a:latin typeface="Cambria Math" panose="02040503050406030204" pitchFamily="18" charset="0"/>
                                  <a:ea typeface="+mn-ea"/>
                                  <a:cs typeface="+mn-cs"/>
                                </a:rPr>
                                <m:t>𝑋</m:t>
                              </m:r>
                            </m:e>
                            <m:sub>
                              <m:r>
                                <a:rPr lang="es-ES_tradnl" sz="1400" i="1">
                                  <a:solidFill>
                                    <a:schemeClr val="dk1"/>
                                  </a:solidFill>
                                  <a:effectLst/>
                                  <a:latin typeface="Cambria Math" panose="02040503050406030204" pitchFamily="18" charset="0"/>
                                  <a:ea typeface="+mn-ea"/>
                                  <a:cs typeface="+mn-cs"/>
                                </a:rPr>
                                <m:t>2</m:t>
                              </m:r>
                            </m:sub>
                          </m:sSub>
                        </m:e>
                      </m:d>
                    </m:e>
                  </m:func>
                </m:oMath>
              </a14:m>
              <a:r>
                <a:rPr lang="es-ES_tradnl" sz="1400">
                  <a:solidFill>
                    <a:schemeClr val="dk1"/>
                  </a:solidFill>
                  <a:effectLst/>
                  <a:latin typeface="+mn-lt"/>
                  <a:ea typeface="+mn-ea"/>
                  <a:cs typeface="+mn-cs"/>
                </a:rPr>
                <a:t>. Calcular:</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Función de probabilidad de X, es decir,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𝑘</m:t>
                      </m:r>
                    </m:e>
                  </m:d>
                </m:oMath>
              </a14:m>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Media y varianza de X.</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c) Probabilidad de que X sea par.</a:t>
              </a:r>
              <a:br>
                <a:rPr lang="es-ES" sz="1400" i="1">
                  <a:solidFill>
                    <a:schemeClr val="dk1"/>
                  </a:solidFill>
                  <a:effectLst/>
                  <a:latin typeface="+mn-lt"/>
                  <a:ea typeface="+mn-ea"/>
                  <a:cs typeface="+mn-cs"/>
                </a:rPr>
              </a:br>
              <a:r>
                <a:rPr lang="es-ES" sz="1400" i="0">
                  <a:solidFill>
                    <a:schemeClr val="dk1"/>
                  </a:solidFill>
                  <a:effectLst/>
                  <a:latin typeface="+mn-lt"/>
                  <a:ea typeface="+mn-ea"/>
                  <a:cs typeface="+mn-cs"/>
                </a:rPr>
                <a:t>d)</a:t>
              </a:r>
              <a:r>
                <a:rPr lang="es-ES" sz="1400" i="0" baseline="0">
                  <a:solidFill>
                    <a:schemeClr val="dk1"/>
                  </a:solidFill>
                  <a:effectLst/>
                  <a:latin typeface="+mn-lt"/>
                  <a:ea typeface="+mn-ea"/>
                  <a:cs typeface="+mn-cs"/>
                </a:rPr>
                <a:t>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r>
                    <a:rPr lang="es-ES_tradnl" sz="1400" i="1">
                      <a:solidFill>
                        <a:schemeClr val="dk1"/>
                      </a:solidFill>
                      <a:effectLst/>
                      <a:latin typeface="Cambria Math" panose="02040503050406030204" pitchFamily="18" charset="0"/>
                      <a:ea typeface="+mn-ea"/>
                      <a:cs typeface="+mn-cs"/>
                    </a:rPr>
                    <m:t>(2&lt;</m:t>
                  </m:r>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≤4)</m:t>
                  </m:r>
                </m:oMath>
              </a14:m>
              <a:endParaRPr lang="es-ES" sz="1100" kern="1200"/>
            </a:p>
          </xdr:txBody>
        </xdr:sp>
      </mc:Choice>
      <mc:Fallback xmlns="">
        <xdr:sp macro="" textlink="">
          <xdr:nvSpPr>
            <xdr:cNvPr id="2" name="CuadroTexto 1">
              <a:extLst>
                <a:ext uri="{FF2B5EF4-FFF2-40B4-BE49-F238E27FC236}">
                  <a16:creationId xmlns:a16="http://schemas.microsoft.com/office/drawing/2014/main" id="{7FF32506-BCD3-462A-99FE-84BC0D5B419A}"/>
                </a:ext>
              </a:extLst>
            </xdr:cNvPr>
            <xdr:cNvSpPr txBox="1"/>
          </xdr:nvSpPr>
          <xdr:spPr>
            <a:xfrm>
              <a:off x="1" y="0"/>
              <a:ext cx="11597859" cy="1807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4-5.</a:t>
              </a:r>
              <a:r>
                <a:rPr lang="es-ES_tradnl" sz="1400">
                  <a:solidFill>
                    <a:schemeClr val="dk1"/>
                  </a:solidFill>
                  <a:effectLst/>
                  <a:latin typeface="+mn-lt"/>
                  <a:ea typeface="+mn-ea"/>
                  <a:cs typeface="+mn-cs"/>
                </a:rPr>
                <a:t> Se lanzan dos dados, obteniéndose las puntuaciones </a:t>
              </a:r>
              <a:r>
                <a:rPr lang="es-ES_tradnl" sz="1400" i="0">
                  <a:solidFill>
                    <a:schemeClr val="dk1"/>
                  </a:solidFill>
                  <a:effectLst/>
                  <a:latin typeface="+mn-lt"/>
                  <a:ea typeface="+mn-ea"/>
                  <a:cs typeface="+mn-cs"/>
                </a:rPr>
                <a:t>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1</a:t>
              </a:r>
              <a:r>
                <a:rPr lang="es-ES_tradnl" sz="1400">
                  <a:solidFill>
                    <a:schemeClr val="dk1"/>
                  </a:solidFill>
                  <a:effectLst/>
                  <a:latin typeface="+mn-lt"/>
                  <a:ea typeface="+mn-ea"/>
                  <a:cs typeface="+mn-cs"/>
                </a:rPr>
                <a:t> y </a:t>
              </a:r>
              <a:r>
                <a:rPr lang="es-ES_tradnl" sz="1400" i="0">
                  <a:solidFill>
                    <a:schemeClr val="dk1"/>
                  </a:solidFill>
                  <a:effectLst/>
                  <a:latin typeface="+mn-lt"/>
                  <a:ea typeface="+mn-ea"/>
                  <a:cs typeface="+mn-cs"/>
                </a:rPr>
                <a:t>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2</a:t>
              </a:r>
              <a:r>
                <a:rPr lang="es-ES_tradnl" sz="1400">
                  <a:solidFill>
                    <a:schemeClr val="dk1"/>
                  </a:solidFill>
                  <a:effectLst/>
                  <a:latin typeface="+mn-lt"/>
                  <a:ea typeface="+mn-ea"/>
                  <a:cs typeface="+mn-cs"/>
                </a:rPr>
                <a:t>. Se define la variable aleatoria </a:t>
              </a:r>
              <a:r>
                <a:rPr lang="es-ES_tradnl" sz="1400" i="0">
                  <a:solidFill>
                    <a:schemeClr val="dk1"/>
                  </a:solidFill>
                  <a:effectLst/>
                  <a:latin typeface="+mn-lt"/>
                  <a:ea typeface="+mn-ea"/>
                  <a:cs typeface="+mn-cs"/>
                </a:rPr>
                <a:t>𝑋</a:t>
              </a:r>
              <a:r>
                <a:rPr lang="es-ES_tradnl" sz="1400">
                  <a:solidFill>
                    <a:schemeClr val="dk1"/>
                  </a:solidFill>
                  <a:effectLst/>
                  <a:latin typeface="+mn-lt"/>
                  <a:ea typeface="+mn-ea"/>
                  <a:cs typeface="+mn-cs"/>
                </a:rPr>
                <a:t> como el mayor valor obtenido en el lanzamiento, es decir, </a:t>
              </a:r>
              <a:r>
                <a:rPr lang="es-ES_tradnl" sz="1400" i="0">
                  <a:solidFill>
                    <a:schemeClr val="dk1"/>
                  </a:solidFill>
                  <a:effectLst/>
                  <a:latin typeface="+mn-lt"/>
                  <a:ea typeface="+mn-ea"/>
                  <a:cs typeface="+mn-cs"/>
                </a:rPr>
                <a:t>𝑋=max</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1,𝑋</a:t>
              </a:r>
              <a:r>
                <a:rPr lang="es-ES" sz="1400" i="0">
                  <a:solidFill>
                    <a:schemeClr val="dk1"/>
                  </a:solidFill>
                  <a:effectLst/>
                  <a:latin typeface="+mn-lt"/>
                  <a:ea typeface="+mn-ea"/>
                  <a:cs typeface="+mn-cs"/>
                </a:rPr>
                <a:t>_</a:t>
              </a:r>
              <a:r>
                <a:rPr lang="es-ES_tradnl" sz="1400" i="0">
                  <a:solidFill>
                    <a:schemeClr val="dk1"/>
                  </a:solidFill>
                  <a:effectLst/>
                  <a:latin typeface="+mn-lt"/>
                  <a:ea typeface="+mn-ea"/>
                  <a:cs typeface="+mn-cs"/>
                </a:rPr>
                <a:t>2 )</a:t>
              </a:r>
              <a:r>
                <a:rPr lang="es-ES_tradnl" sz="1400">
                  <a:solidFill>
                    <a:schemeClr val="dk1"/>
                  </a:solidFill>
                  <a:effectLst/>
                  <a:latin typeface="+mn-lt"/>
                  <a:ea typeface="+mn-ea"/>
                  <a:cs typeface="+mn-cs"/>
                </a:rPr>
                <a:t>. Calcular:</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Función de probabilidad de X, es decir, </a:t>
              </a:r>
              <a:r>
                <a:rPr lang="es-ES_tradnl" sz="1400" i="0">
                  <a:solidFill>
                    <a:schemeClr val="dk1"/>
                  </a:solidFill>
                  <a:effectLst/>
                  <a:latin typeface="+mn-lt"/>
                  <a:ea typeface="+mn-ea"/>
                  <a:cs typeface="+mn-cs"/>
                </a:rPr>
                <a:t>𝑃</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𝑋=𝑘)</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Media y varianza de X.</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c) Probabilidad de que X sea par.</a:t>
              </a:r>
              <a:br>
                <a:rPr lang="es-ES" sz="1400" i="1">
                  <a:solidFill>
                    <a:schemeClr val="dk1"/>
                  </a:solidFill>
                  <a:effectLst/>
                  <a:latin typeface="+mn-lt"/>
                  <a:ea typeface="+mn-ea"/>
                  <a:cs typeface="+mn-cs"/>
                </a:rPr>
              </a:br>
              <a:r>
                <a:rPr lang="es-ES" sz="1400" i="0">
                  <a:solidFill>
                    <a:schemeClr val="dk1"/>
                  </a:solidFill>
                  <a:effectLst/>
                  <a:latin typeface="+mn-lt"/>
                  <a:ea typeface="+mn-ea"/>
                  <a:cs typeface="+mn-cs"/>
                </a:rPr>
                <a:t>d)</a:t>
              </a:r>
              <a:r>
                <a:rPr lang="es-ES" sz="1400" i="0" baseline="0">
                  <a:solidFill>
                    <a:schemeClr val="dk1"/>
                  </a:solidFill>
                  <a:effectLst/>
                  <a:latin typeface="+mn-lt"/>
                  <a:ea typeface="+mn-ea"/>
                  <a:cs typeface="+mn-cs"/>
                </a:rPr>
                <a:t> </a:t>
              </a:r>
              <a:r>
                <a:rPr lang="es-ES_tradnl" sz="1400" i="0">
                  <a:solidFill>
                    <a:schemeClr val="dk1"/>
                  </a:solidFill>
                  <a:effectLst/>
                  <a:latin typeface="+mn-lt"/>
                  <a:ea typeface="+mn-ea"/>
                  <a:cs typeface="+mn-cs"/>
                </a:rPr>
                <a:t>𝑃(2&lt;𝑋≤4)</a:t>
              </a:r>
              <a:endParaRPr lang="es-ES" sz="1100" kern="12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xdr:rowOff>
    </xdr:from>
    <xdr:to>
      <xdr:col>7</xdr:col>
      <xdr:colOff>266700</xdr:colOff>
      <xdr:row>10</xdr:row>
      <xdr:rowOff>0</xdr:rowOff>
    </xdr:to>
    <xdr:sp macro="" textlink="">
      <xdr:nvSpPr>
        <xdr:cNvPr id="2" name="CuadroTexto 1">
          <a:extLst>
            <a:ext uri="{FF2B5EF4-FFF2-40B4-BE49-F238E27FC236}">
              <a16:creationId xmlns:a16="http://schemas.microsoft.com/office/drawing/2014/main" id="{1AAB50F7-470C-49C6-B376-E3542F30E8B7}"/>
            </a:ext>
          </a:extLst>
        </xdr:cNvPr>
        <xdr:cNvSpPr txBox="1"/>
      </xdr:nvSpPr>
      <xdr:spPr>
        <a:xfrm>
          <a:off x="0" y="2"/>
          <a:ext cx="6858000" cy="2666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4-14.</a:t>
          </a:r>
          <a:r>
            <a:rPr lang="es-ES_tradnl" sz="1400">
              <a:solidFill>
                <a:schemeClr val="dk1"/>
              </a:solidFill>
              <a:effectLst/>
              <a:latin typeface="+mn-lt"/>
              <a:ea typeface="+mn-ea"/>
              <a:cs typeface="+mn-cs"/>
            </a:rPr>
            <a:t> La duración de un determinado dispositivo electrónico está exponencialmente distribuida con media de 4000 horas.</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Calcular la probabilidad de que un dispositivo dure más de 1000 horas.</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Determinar la probabilidad de que el dispositivo falle antes de 200 horas.</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c)</a:t>
          </a:r>
          <a:r>
            <a:rPr lang="es-ES_tradnl" sz="1400" baseline="0">
              <a:solidFill>
                <a:schemeClr val="dk1"/>
              </a:solidFill>
              <a:effectLst/>
              <a:latin typeface="+mn-lt"/>
              <a:ea typeface="+mn-ea"/>
              <a:cs typeface="+mn-cs"/>
            </a:rPr>
            <a:t> </a:t>
          </a:r>
          <a:r>
            <a:rPr lang="es-ES_tradnl" sz="1400">
              <a:solidFill>
                <a:schemeClr val="dk1"/>
              </a:solidFill>
              <a:effectLst/>
              <a:latin typeface="+mn-lt"/>
              <a:ea typeface="+mn-ea"/>
              <a:cs typeface="+mn-cs"/>
            </a:rPr>
            <a:t>Encontrar la probabilidad de que la duración del dispositivo se encuentre en el rango entre 600 y 800 horas.</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d) ¿Qué duración debe cubrir la garantía del dispositivo si se desea que como máximo el 5% de los dispositivos fallen en garantía?</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e) Determinar la probabilidad de que de una partida de 1000 dispositivos, 50 fallen en período de garantía supuesto que éste es de 250 días</a:t>
          </a:r>
          <a:r>
            <a:rPr lang="es-ES_tradnl" sz="1100">
              <a:solidFill>
                <a:schemeClr val="dk1"/>
              </a:solidFill>
              <a:effectLst/>
              <a:latin typeface="+mn-lt"/>
              <a:ea typeface="+mn-ea"/>
              <a:cs typeface="+mn-cs"/>
            </a:rPr>
            <a:t>.</a:t>
          </a:r>
          <a:endParaRPr lang="es-ES" sz="1100">
            <a:solidFill>
              <a:schemeClr val="dk1"/>
            </a:solidFill>
            <a:effectLst/>
            <a:latin typeface="+mn-lt"/>
            <a:ea typeface="+mn-ea"/>
            <a:cs typeface="+mn-cs"/>
          </a:endParaRPr>
        </a:p>
        <a:p>
          <a:endParaRPr lang="es-E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6</xdr:col>
      <xdr:colOff>1097017</xdr:colOff>
      <xdr:row>9</xdr:row>
      <xdr:rowOff>19707</xdr:rowOff>
    </xdr:to>
    <xdr:sp macro="" textlink="">
      <xdr:nvSpPr>
        <xdr:cNvPr id="2" name="CuadroTexto 1">
          <a:extLst>
            <a:ext uri="{FF2B5EF4-FFF2-40B4-BE49-F238E27FC236}">
              <a16:creationId xmlns:a16="http://schemas.microsoft.com/office/drawing/2014/main" id="{BA9E7F64-0A2B-4CFC-8D8F-3B234741F916}"/>
            </a:ext>
          </a:extLst>
        </xdr:cNvPr>
        <xdr:cNvSpPr txBox="1"/>
      </xdr:nvSpPr>
      <xdr:spPr>
        <a:xfrm>
          <a:off x="0" y="1"/>
          <a:ext cx="7094483" cy="2443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4-7.</a:t>
          </a:r>
          <a:r>
            <a:rPr lang="es-ES_tradnl" sz="1400">
              <a:solidFill>
                <a:schemeClr val="dk1"/>
              </a:solidFill>
              <a:effectLst/>
              <a:latin typeface="+mn-lt"/>
              <a:ea typeface="+mn-ea"/>
              <a:cs typeface="+mn-cs"/>
            </a:rPr>
            <a:t> Un jugador lanza un dado y gana, en la primera tirada, si obtiene un resultado múltiplo de 3. En caso contrario, tiene que continuar tirando hasta que se repita el resultado del primer lanzamiento o se obtenga un múltiplo de 3. En el primer caso el jugador pierde y en el segundo gana.</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Calcular:</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a)</a:t>
          </a:r>
          <a:r>
            <a:rPr lang="es-ES_tradnl" sz="1400" baseline="0">
              <a:solidFill>
                <a:schemeClr val="dk1"/>
              </a:solidFill>
              <a:effectLst/>
              <a:latin typeface="+mn-lt"/>
              <a:ea typeface="+mn-ea"/>
              <a:cs typeface="+mn-cs"/>
            </a:rPr>
            <a:t> </a:t>
          </a:r>
          <a:r>
            <a:rPr lang="es-ES_tradnl" sz="1400">
              <a:solidFill>
                <a:schemeClr val="dk1"/>
              </a:solidFill>
              <a:effectLst/>
              <a:latin typeface="+mn-lt"/>
              <a:ea typeface="+mn-ea"/>
              <a:cs typeface="+mn-cs"/>
            </a:rPr>
            <a:t>Probabilidad de que el jugador gane la partida</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b)</a:t>
          </a:r>
          <a:r>
            <a:rPr lang="es-ES_tradnl" sz="1400" baseline="0">
              <a:solidFill>
                <a:schemeClr val="dk1"/>
              </a:solidFill>
              <a:effectLst/>
              <a:latin typeface="+mn-lt"/>
              <a:ea typeface="+mn-ea"/>
              <a:cs typeface="+mn-cs"/>
            </a:rPr>
            <a:t> </a:t>
          </a:r>
          <a:r>
            <a:rPr lang="es-ES_tradnl" sz="1400">
              <a:solidFill>
                <a:schemeClr val="dk1"/>
              </a:solidFill>
              <a:effectLst/>
              <a:latin typeface="+mn-lt"/>
              <a:ea typeface="+mn-ea"/>
              <a:cs typeface="+mn-cs"/>
            </a:rPr>
            <a:t>Número medio de jugadas para acabar la partida</a:t>
          </a:r>
          <a:r>
            <a:rPr lang="es-ES_tradnl" sz="1100">
              <a:solidFill>
                <a:schemeClr val="dk1"/>
              </a:solidFill>
              <a:effectLst/>
              <a:latin typeface="+mn-lt"/>
              <a:ea typeface="+mn-ea"/>
              <a:cs typeface="+mn-cs"/>
            </a:rPr>
            <a:t>.</a:t>
          </a:r>
          <a:endParaRPr lang="es-ES" sz="1100">
            <a:solidFill>
              <a:schemeClr val="dk1"/>
            </a:solidFill>
            <a:effectLst/>
            <a:latin typeface="+mn-lt"/>
            <a:ea typeface="+mn-ea"/>
            <a:cs typeface="+mn-cs"/>
          </a:endParaRPr>
        </a:p>
        <a:p>
          <a:endParaRPr lang="es-ES" sz="1100" kern="1200"/>
        </a:p>
      </xdr:txBody>
    </xdr:sp>
    <xdr:clientData/>
  </xdr:twoCellAnchor>
  <xdr:oneCellAnchor>
    <xdr:from>
      <xdr:col>0</xdr:col>
      <xdr:colOff>712077</xdr:colOff>
      <xdr:row>26</xdr:row>
      <xdr:rowOff>45326</xdr:rowOff>
    </xdr:from>
    <xdr:ext cx="1470980" cy="417294"/>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E9638AB3-DD70-C311-0161-59366C20AA70}"/>
                </a:ext>
              </a:extLst>
            </xdr:cNvPr>
            <xdr:cNvSpPr txBox="1"/>
          </xdr:nvSpPr>
          <xdr:spPr>
            <a:xfrm>
              <a:off x="712077" y="7087257"/>
              <a:ext cx="1470980" cy="417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d>
                      <m:dPr>
                        <m:ctrlPr>
                          <a:rPr lang="es-ES" sz="1100" b="0" i="1">
                            <a:latin typeface="Cambria Math" panose="02040503050406030204" pitchFamily="18" charset="0"/>
                          </a:rPr>
                        </m:ctrlPr>
                      </m:dPr>
                      <m:e>
                        <m:r>
                          <a:rPr lang="es-ES" sz="1100" b="0" i="1">
                            <a:latin typeface="Cambria Math" panose="02040503050406030204" pitchFamily="18" charset="0"/>
                          </a:rPr>
                          <m:t>𝑋</m:t>
                        </m:r>
                        <m:r>
                          <a:rPr lang="es-ES" sz="1100" b="0" i="1">
                            <a:latin typeface="Cambria Math" panose="02040503050406030204" pitchFamily="18" charset="0"/>
                          </a:rPr>
                          <m:t>=</m:t>
                        </m:r>
                        <m:r>
                          <a:rPr lang="es-ES" sz="1100" b="0" i="1">
                            <a:latin typeface="Cambria Math" panose="02040503050406030204" pitchFamily="18" charset="0"/>
                          </a:rPr>
                          <m:t>𝑘</m:t>
                        </m:r>
                      </m:e>
                    </m:d>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2</m:t>
                        </m:r>
                      </m:num>
                      <m:den>
                        <m:r>
                          <a:rPr lang="es-ES" sz="1100" b="0" i="1">
                            <a:latin typeface="Cambria Math" panose="02040503050406030204" pitchFamily="18" charset="0"/>
                          </a:rPr>
                          <m:t>3</m:t>
                        </m:r>
                      </m:den>
                    </m:f>
                    <m:r>
                      <a:rPr lang="es-ES" sz="1100" b="0" i="1">
                        <a:latin typeface="Cambria Math" panose="02040503050406030204" pitchFamily="18" charset="0"/>
                        <a:ea typeface="Cambria Math" panose="02040503050406030204" pitchFamily="18" charset="0"/>
                      </a:rPr>
                      <m:t>×</m:t>
                    </m:r>
                    <m:sSup>
                      <m:sSupPr>
                        <m:ctrlPr>
                          <a:rPr lang="es-ES" sz="1100" b="0" i="1">
                            <a:latin typeface="Cambria Math" panose="02040503050406030204" pitchFamily="18" charset="0"/>
                            <a:ea typeface="Cambria Math" panose="02040503050406030204" pitchFamily="18" charset="0"/>
                          </a:rPr>
                        </m:ctrlPr>
                      </m:sSupPr>
                      <m:e>
                        <m:d>
                          <m:dPr>
                            <m:ctrlPr>
                              <a:rPr lang="es-ES" sz="1100" b="0" i="1">
                                <a:latin typeface="Cambria Math" panose="02040503050406030204" pitchFamily="18" charset="0"/>
                                <a:ea typeface="Cambria Math" panose="02040503050406030204" pitchFamily="18" charset="0"/>
                              </a:rPr>
                            </m:ctrlPr>
                          </m:dPr>
                          <m:e>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1</m:t>
                                </m:r>
                              </m:num>
                              <m:den>
                                <m:r>
                                  <a:rPr lang="es-ES" sz="1100" b="0" i="1">
                                    <a:latin typeface="Cambria Math" panose="02040503050406030204" pitchFamily="18" charset="0"/>
                                    <a:ea typeface="Cambria Math" panose="02040503050406030204" pitchFamily="18" charset="0"/>
                                  </a:rPr>
                                  <m:t>2</m:t>
                                </m:r>
                              </m:den>
                            </m:f>
                          </m:e>
                        </m:d>
                      </m:e>
                      <m:sup>
                        <m:r>
                          <a:rPr lang="es-ES" sz="1100" b="0" i="1">
                            <a:latin typeface="Cambria Math" panose="02040503050406030204" pitchFamily="18" charset="0"/>
                            <a:ea typeface="Cambria Math" panose="02040503050406030204" pitchFamily="18" charset="0"/>
                          </a:rPr>
                          <m:t>𝑘</m:t>
                        </m:r>
                        <m:r>
                          <a:rPr lang="es-ES" sz="1100" b="0" i="1">
                            <a:latin typeface="Cambria Math" panose="02040503050406030204" pitchFamily="18" charset="0"/>
                            <a:ea typeface="Cambria Math" panose="02040503050406030204" pitchFamily="18" charset="0"/>
                          </a:rPr>
                          <m:t>−1</m:t>
                        </m:r>
                      </m:sup>
                    </m:sSup>
                  </m:oMath>
                </m:oMathPara>
              </a14:m>
              <a:endParaRPr lang="es-ES" sz="1100"/>
            </a:p>
          </xdr:txBody>
        </xdr:sp>
      </mc:Choice>
      <mc:Fallback xmlns="">
        <xdr:sp macro="" textlink="">
          <xdr:nvSpPr>
            <xdr:cNvPr id="18" name="CuadroTexto 17">
              <a:extLst>
                <a:ext uri="{FF2B5EF4-FFF2-40B4-BE49-F238E27FC236}">
                  <a16:creationId xmlns:a16="http://schemas.microsoft.com/office/drawing/2014/main" id="{E9638AB3-DD70-C311-0161-59366C20AA70}"/>
                </a:ext>
              </a:extLst>
            </xdr:cNvPr>
            <xdr:cNvSpPr txBox="1"/>
          </xdr:nvSpPr>
          <xdr:spPr>
            <a:xfrm>
              <a:off x="712077" y="7087257"/>
              <a:ext cx="1470980" cy="417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𝑃(𝑋=𝑘)=2/3</a:t>
              </a:r>
              <a:r>
                <a:rPr lang="es-ES" sz="1100" b="0" i="0">
                  <a:latin typeface="Cambria Math" panose="02040503050406030204" pitchFamily="18" charset="0"/>
                  <a:ea typeface="Cambria Math" panose="02040503050406030204" pitchFamily="18" charset="0"/>
                </a:rPr>
                <a:t>×(1/2)^(𝑘−1)</a:t>
              </a:r>
              <a:endParaRPr lang="es-E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xdr:rowOff>
    </xdr:from>
    <xdr:to>
      <xdr:col>12</xdr:col>
      <xdr:colOff>0</xdr:colOff>
      <xdr:row>11</xdr:row>
      <xdr:rowOff>105103</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43AB0ACA-4615-4531-BC07-8262D12C41F8}"/>
                </a:ext>
              </a:extLst>
            </xdr:cNvPr>
            <xdr:cNvSpPr txBox="1"/>
          </xdr:nvSpPr>
          <xdr:spPr>
            <a:xfrm>
              <a:off x="0" y="2"/>
              <a:ext cx="10911052" cy="220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4-10.</a:t>
              </a:r>
              <a:r>
                <a:rPr lang="es-ES_tradnl" sz="1400">
                  <a:solidFill>
                    <a:schemeClr val="dk1"/>
                  </a:solidFill>
                  <a:effectLst/>
                  <a:latin typeface="+mn-lt"/>
                  <a:ea typeface="+mn-ea"/>
                  <a:cs typeface="+mn-cs"/>
                </a:rPr>
                <a:t> Un ingeniero puede escoger la velocidad de trabajo de una máquina troqueladora automática de manera que haga n operaciones por hora. Hay una ganancia de 100 euros por cada operación correcta y una pérdida de 2000 euros por cada operación defectuosa. Por otra parte se sabe que para un número fijo n de operaciones, la proporción X de operaciones defectuosas es una variable aleatoria con función de densidad:</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400" i="1">
                        <a:solidFill>
                          <a:schemeClr val="dk1"/>
                        </a:solidFill>
                        <a:effectLst/>
                        <a:latin typeface="Cambria Math" panose="02040503050406030204" pitchFamily="18" charset="0"/>
                        <a:ea typeface="+mn-ea"/>
                        <a:cs typeface="+mn-cs"/>
                      </a:rPr>
                      <m:t>𝑓</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𝑥</m:t>
                        </m:r>
                      </m:e>
                    </m:d>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𝑘𝑛</m:t>
                    </m:r>
                    <m:sSup>
                      <m:sSupPr>
                        <m:ctrlPr>
                          <a:rPr lang="es-ES" sz="1400" i="1">
                            <a:solidFill>
                              <a:schemeClr val="dk1"/>
                            </a:solidFill>
                            <a:effectLst/>
                            <a:latin typeface="Cambria Math" panose="02040503050406030204" pitchFamily="18" charset="0"/>
                            <a:ea typeface="+mn-ea"/>
                            <a:cs typeface="+mn-cs"/>
                          </a:rPr>
                        </m:ctrlPr>
                      </m:sSupPr>
                      <m:e>
                        <m:r>
                          <a:rPr lang="es-ES_tradnl" sz="1400" i="1">
                            <a:solidFill>
                              <a:schemeClr val="dk1"/>
                            </a:solidFill>
                            <a:effectLst/>
                            <a:latin typeface="Cambria Math" panose="02040503050406030204" pitchFamily="18" charset="0"/>
                            <a:ea typeface="+mn-ea"/>
                            <a:cs typeface="+mn-cs"/>
                          </a:rPr>
                          <m:t>𝑥</m:t>
                        </m:r>
                      </m:e>
                      <m:sup>
                        <m:r>
                          <a:rPr lang="es-ES_tradnl" sz="1400" i="1">
                            <a:solidFill>
                              <a:schemeClr val="dk1"/>
                            </a:solidFill>
                            <a:effectLst/>
                            <a:latin typeface="Cambria Math" panose="02040503050406030204" pitchFamily="18" charset="0"/>
                            <a:ea typeface="+mn-ea"/>
                            <a:cs typeface="+mn-cs"/>
                          </a:rPr>
                          <m:t>0.001</m:t>
                        </m:r>
                        <m:r>
                          <a:rPr lang="es-ES_tradnl" sz="1400" i="1">
                            <a:solidFill>
                              <a:schemeClr val="dk1"/>
                            </a:solidFill>
                            <a:effectLst/>
                            <a:latin typeface="Cambria Math" panose="02040503050406030204" pitchFamily="18" charset="0"/>
                            <a:ea typeface="+mn-ea"/>
                            <a:cs typeface="+mn-cs"/>
                          </a:rPr>
                          <m:t>𝑛</m:t>
                        </m:r>
                        <m:r>
                          <a:rPr lang="es-ES_tradnl" sz="1400" i="1">
                            <a:solidFill>
                              <a:schemeClr val="dk1"/>
                            </a:solidFill>
                            <a:effectLst/>
                            <a:latin typeface="Cambria Math" panose="02040503050406030204" pitchFamily="18" charset="0"/>
                            <a:ea typeface="+mn-ea"/>
                            <a:cs typeface="+mn-cs"/>
                          </a:rPr>
                          <m:t>−1</m:t>
                        </m:r>
                      </m:sup>
                    </m:sSup>
                    <m:r>
                      <a:rPr lang="es-ES_tradnl" sz="1400" i="1">
                        <a:solidFill>
                          <a:schemeClr val="dk1"/>
                        </a:solidFill>
                        <a:effectLst/>
                        <a:latin typeface="Cambria Math" panose="02040503050406030204" pitchFamily="18" charset="0"/>
                        <a:ea typeface="+mn-ea"/>
                        <a:cs typeface="+mn-cs"/>
                      </a:rPr>
                      <m:t>      0≤</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≤1</m:t>
                    </m:r>
                  </m:oMath>
                </m:oMathPara>
              </a14:m>
              <a:endParaRPr lang="es-ES" sz="1400">
                <a:solidFill>
                  <a:schemeClr val="dk1"/>
                </a:solidFill>
                <a:effectLst/>
                <a:latin typeface="+mn-lt"/>
                <a:ea typeface="+mn-ea"/>
                <a:cs typeface="+mn-cs"/>
              </a:endParaRPr>
            </a:p>
            <a:p>
              <a:r>
                <a:rPr lang="es-ES_tradnl" sz="1600">
                  <a:solidFill>
                    <a:schemeClr val="dk1"/>
                  </a:solidFill>
                  <a:effectLst/>
                  <a:latin typeface="+mn-lt"/>
                  <a:ea typeface="+mn-ea"/>
                  <a:cs typeface="+mn-cs"/>
                </a:rPr>
                <a:t>Determinar: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	La velocidad para la que el beneficio esperado es máximo.</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	El beneficio medio máximo.</a:t>
              </a:r>
              <a:endParaRPr lang="es-ES" sz="16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43AB0ACA-4615-4531-BC07-8262D12C41F8}"/>
                </a:ext>
              </a:extLst>
            </xdr:cNvPr>
            <xdr:cNvSpPr txBox="1"/>
          </xdr:nvSpPr>
          <xdr:spPr>
            <a:xfrm>
              <a:off x="0" y="2"/>
              <a:ext cx="10911052" cy="220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4-10.</a:t>
              </a:r>
              <a:r>
                <a:rPr lang="es-ES_tradnl" sz="1400">
                  <a:solidFill>
                    <a:schemeClr val="dk1"/>
                  </a:solidFill>
                  <a:effectLst/>
                  <a:latin typeface="+mn-lt"/>
                  <a:ea typeface="+mn-ea"/>
                  <a:cs typeface="+mn-cs"/>
                </a:rPr>
                <a:t> Un ingeniero puede escoger la velocidad de trabajo de una máquina troqueladora automática de manera que haga n operaciones por hora. Hay una ganancia de 100 euros por cada operación correcta y una pérdida de 2000 euros por cada operación defectuosa. Por otra parte se sabe que para un número fijo n de operaciones, la proporción X de operaciones defectuosas es una variable aleatoria con función de densidad:</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r>
                <a:rPr lang="es-ES_tradnl" sz="1400" i="0">
                  <a:solidFill>
                    <a:schemeClr val="dk1"/>
                  </a:solidFill>
                  <a:effectLst/>
                  <a:latin typeface="Cambria Math" panose="02040503050406030204" pitchFamily="18" charset="0"/>
                  <a:ea typeface="+mn-ea"/>
                  <a:cs typeface="+mn-cs"/>
                </a:rPr>
                <a:t>𝑓</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𝑥)=𝑘𝑛𝑥</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0.001𝑛−1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       0≤𝑥≤1</a:t>
              </a:r>
              <a:endParaRPr lang="es-ES" sz="1400">
                <a:solidFill>
                  <a:schemeClr val="dk1"/>
                </a:solidFill>
                <a:effectLst/>
                <a:latin typeface="+mn-lt"/>
                <a:ea typeface="+mn-ea"/>
                <a:cs typeface="+mn-cs"/>
              </a:endParaRPr>
            </a:p>
            <a:p>
              <a:r>
                <a:rPr lang="es-ES_tradnl" sz="1600">
                  <a:solidFill>
                    <a:schemeClr val="dk1"/>
                  </a:solidFill>
                  <a:effectLst/>
                  <a:latin typeface="+mn-lt"/>
                  <a:ea typeface="+mn-ea"/>
                  <a:cs typeface="+mn-cs"/>
                </a:rPr>
                <a:t>Determinar: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	La velocidad para la que el beneficio esperado es máximo.</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	El beneficio medio máximo.</a:t>
              </a:r>
              <a:endParaRPr lang="es-ES" sz="1600">
                <a:solidFill>
                  <a:schemeClr val="dk1"/>
                </a:solidFill>
                <a:effectLst/>
                <a:latin typeface="+mn-lt"/>
                <a:ea typeface="+mn-ea"/>
                <a:cs typeface="+mn-cs"/>
              </a:endParaRPr>
            </a:p>
            <a:p>
              <a:endParaRPr lang="es-ES" sz="1100" kern="12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0</xdr:colOff>
      <xdr:row>14</xdr:row>
      <xdr:rowOff>229914</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23881E3-4675-4584-86D7-111C7C8F3746}"/>
                </a:ext>
              </a:extLst>
            </xdr:cNvPr>
            <xdr:cNvSpPr txBox="1"/>
          </xdr:nvSpPr>
          <xdr:spPr>
            <a:xfrm>
              <a:off x="0" y="1"/>
              <a:ext cx="11088414" cy="4000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4-13.</a:t>
              </a:r>
              <a:r>
                <a:rPr lang="es-ES_tradnl" sz="1400">
                  <a:solidFill>
                    <a:schemeClr val="dk1"/>
                  </a:solidFill>
                  <a:effectLst/>
                  <a:latin typeface="+mn-lt"/>
                  <a:ea typeface="+mn-ea"/>
                  <a:cs typeface="+mn-cs"/>
                </a:rPr>
                <a:t>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𝑋</m:t>
                  </m:r>
                </m:oMath>
              </a14:m>
              <a:r>
                <a:rPr lang="es-ES_tradnl" sz="1400">
                  <a:solidFill>
                    <a:schemeClr val="dk1"/>
                  </a:solidFill>
                  <a:effectLst/>
                  <a:latin typeface="+mn-lt"/>
                  <a:ea typeface="+mn-ea"/>
                  <a:cs typeface="+mn-cs"/>
                </a:rPr>
                <a:t> es una variable aleatoria con la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400" i="1">
                        <a:solidFill>
                          <a:schemeClr val="dk1"/>
                        </a:solidFill>
                        <a:effectLst/>
                        <a:latin typeface="Cambria Math" panose="02040503050406030204" pitchFamily="18" charset="0"/>
                        <a:ea typeface="+mn-ea"/>
                        <a:cs typeface="+mn-cs"/>
                      </a:rPr>
                      <m:t>𝐹</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𝑥</m:t>
                        </m:r>
                      </m:e>
                    </m:d>
                    <m:r>
                      <a:rPr lang="es-ES_tradnl" sz="1400" i="1">
                        <a:solidFill>
                          <a:schemeClr val="dk1"/>
                        </a:solidFill>
                        <a:effectLst/>
                        <a:latin typeface="Cambria Math" panose="02040503050406030204" pitchFamily="18" charset="0"/>
                        <a:ea typeface="+mn-ea"/>
                        <a:cs typeface="+mn-cs"/>
                      </a:rPr>
                      <m:t>=</m:t>
                    </m:r>
                    <m:d>
                      <m:dPr>
                        <m:begChr m:val="{"/>
                        <m:endChr m:val=""/>
                        <m:ctrlPr>
                          <a:rPr lang="es-ES" sz="1400" i="1">
                            <a:solidFill>
                              <a:schemeClr val="dk1"/>
                            </a:solidFill>
                            <a:effectLst/>
                            <a:latin typeface="Cambria Math" panose="02040503050406030204" pitchFamily="18" charset="0"/>
                            <a:ea typeface="+mn-ea"/>
                            <a:cs typeface="+mn-cs"/>
                          </a:rPr>
                        </m:ctrlPr>
                      </m:dPr>
                      <m:e>
                        <m:m>
                          <m:mPr>
                            <m:mcs>
                              <m:mc>
                                <m:mcPr>
                                  <m:count m:val="2"/>
                                  <m:mcJc m:val="center"/>
                                </m:mcPr>
                              </m:mc>
                            </m:mcs>
                            <m:ctrlPr>
                              <a:rPr lang="es-ES" sz="1400" i="1">
                                <a:solidFill>
                                  <a:schemeClr val="dk1"/>
                                </a:solidFill>
                                <a:effectLst/>
                                <a:latin typeface="Cambria Math" panose="02040503050406030204" pitchFamily="18" charset="0"/>
                                <a:ea typeface="+mn-ea"/>
                                <a:cs typeface="+mn-cs"/>
                              </a:rPr>
                            </m:ctrlPr>
                          </m:mPr>
                          <m:mr>
                            <m:e>
                              <m:r>
                                <a:rPr lang="es-ES_tradnl" sz="1400" i="1">
                                  <a:solidFill>
                                    <a:schemeClr val="dk1"/>
                                  </a:solidFill>
                                  <a:effectLst/>
                                  <a:latin typeface="Cambria Math" panose="02040503050406030204" pitchFamily="18" charset="0"/>
                                  <a:ea typeface="+mn-ea"/>
                                  <a:cs typeface="+mn-cs"/>
                                </a:rPr>
                                <m:t>0</m:t>
                              </m:r>
                            </m:e>
                            <m:e>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&lt;0</m:t>
                              </m:r>
                            </m:e>
                          </m:mr>
                          <m:mr>
                            <m:e>
                              <m:r>
                                <a:rPr lang="es-ES_tradnl" sz="1400" i="1">
                                  <a:solidFill>
                                    <a:schemeClr val="dk1"/>
                                  </a:solidFill>
                                  <a:effectLst/>
                                  <a:latin typeface="Cambria Math" panose="02040503050406030204" pitchFamily="18" charset="0"/>
                                  <a:ea typeface="+mn-ea"/>
                                  <a:cs typeface="+mn-cs"/>
                                </a:rPr>
                                <m:t>𝑥</m:t>
                              </m:r>
                            </m:e>
                            <m:e>
                              <m:r>
                                <a:rPr lang="es-ES_tradnl" sz="1400" i="1">
                                  <a:solidFill>
                                    <a:schemeClr val="dk1"/>
                                  </a:solidFill>
                                  <a:effectLst/>
                                  <a:latin typeface="Cambria Math" panose="02040503050406030204" pitchFamily="18" charset="0"/>
                                  <a:ea typeface="+mn-ea"/>
                                  <a:cs typeface="+mn-cs"/>
                                </a:rPr>
                                <m:t>0≤</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e>
                          </m:mr>
                          <m:m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&lt;1</m:t>
                              </m:r>
                            </m:e>
                          </m:mr>
                          <m:m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6+</m:t>
                                  </m:r>
                                  <m:r>
                                    <a:rPr lang="es-ES_tradnl" sz="1400" i="1">
                                      <a:solidFill>
                                        <a:schemeClr val="dk1"/>
                                      </a:solidFill>
                                      <a:effectLst/>
                                      <a:latin typeface="Cambria Math" panose="02040503050406030204" pitchFamily="18" charset="0"/>
                                      <a:ea typeface="+mn-ea"/>
                                      <a:cs typeface="+mn-cs"/>
                                    </a:rPr>
                                    <m:t>𝑥</m:t>
                                  </m:r>
                                </m:num>
                                <m:den>
                                  <m:r>
                                    <a:rPr lang="es-ES_tradnl" sz="1400" i="1">
                                      <a:solidFill>
                                        <a:schemeClr val="dk1"/>
                                      </a:solidFill>
                                      <a:effectLst/>
                                      <a:latin typeface="Cambria Math" panose="02040503050406030204" pitchFamily="18" charset="0"/>
                                      <a:ea typeface="+mn-ea"/>
                                      <a:cs typeface="+mn-cs"/>
                                    </a:rPr>
                                    <m:t>8</m:t>
                                  </m:r>
                                </m:den>
                              </m:f>
                            </m:e>
                            <m:e>
                              <m:r>
                                <a:rPr lang="es-ES_tradnl" sz="1400" i="1">
                                  <a:solidFill>
                                    <a:schemeClr val="dk1"/>
                                  </a:solidFill>
                                  <a:effectLst/>
                                  <a:latin typeface="Cambria Math" panose="02040503050406030204" pitchFamily="18" charset="0"/>
                                  <a:ea typeface="+mn-ea"/>
                                  <a:cs typeface="+mn-cs"/>
                                </a:rPr>
                                <m:t>1≤</m:t>
                              </m:r>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&lt;2</m:t>
                              </m:r>
                            </m:e>
                          </m:mr>
                          <m:mr>
                            <m:e>
                              <m:r>
                                <a:rPr lang="es-ES_tradnl" sz="1400" i="1">
                                  <a:solidFill>
                                    <a:schemeClr val="dk1"/>
                                  </a:solidFill>
                                  <a:effectLst/>
                                  <a:latin typeface="Cambria Math" panose="02040503050406030204" pitchFamily="18" charset="0"/>
                                  <a:ea typeface="+mn-ea"/>
                                  <a:cs typeface="+mn-cs"/>
                                </a:rPr>
                                <m:t>1</m:t>
                              </m:r>
                            </m:e>
                            <m:e>
                              <m:r>
                                <a:rPr lang="es-ES_tradnl" sz="1400" i="1">
                                  <a:solidFill>
                                    <a:schemeClr val="dk1"/>
                                  </a:solidFill>
                                  <a:effectLst/>
                                  <a:latin typeface="Cambria Math" panose="02040503050406030204" pitchFamily="18" charset="0"/>
                                  <a:ea typeface="+mn-ea"/>
                                  <a:cs typeface="+mn-cs"/>
                                </a:rPr>
                                <m:t>𝑥</m:t>
                              </m:r>
                              <m:r>
                                <a:rPr lang="es-ES_tradnl" sz="1400" i="1">
                                  <a:solidFill>
                                    <a:schemeClr val="dk1"/>
                                  </a:solidFill>
                                  <a:effectLst/>
                                  <a:latin typeface="Cambria Math" panose="02040503050406030204" pitchFamily="18" charset="0"/>
                                  <a:ea typeface="+mn-ea"/>
                                  <a:cs typeface="+mn-cs"/>
                                </a:rPr>
                                <m:t>≥2</m:t>
                              </m:r>
                            </m:e>
                          </m:mr>
                        </m:m>
                      </m:e>
                    </m:d>
                  </m:oMath>
                </m:oMathPara>
              </a14:m>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Calcular las siguientes probabilidades:</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r>
                <a:rPr lang="es-ES" sz="1400">
                  <a:solidFill>
                    <a:schemeClr val="dk1"/>
                  </a:solidFill>
                  <a:effectLst/>
                  <a:latin typeface="+mn-lt"/>
                  <a:ea typeface="+mn-ea"/>
                  <a:cs typeface="+mn-cs"/>
                </a:rPr>
                <a:t>a)</a:t>
              </a:r>
              <a:r>
                <a:rPr lang="es-ES" sz="1400" baseline="0">
                  <a:solidFill>
                    <a:schemeClr val="dk1"/>
                  </a:solidFill>
                  <a:effectLst/>
                  <a:latin typeface="+mn-lt"/>
                  <a:ea typeface="+mn-ea"/>
                  <a:cs typeface="+mn-cs"/>
                </a:rPr>
                <a:t>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e>
                  </m:d>
                </m:oMath>
              </a14:m>
              <a:endParaRPr lang="es-ES" sz="1400" i="1">
                <a:solidFill>
                  <a:schemeClr val="dk1"/>
                </a:solidFill>
                <a:effectLst/>
                <a:latin typeface="+mn-lt"/>
                <a:ea typeface="+mn-ea"/>
                <a:cs typeface="+mn-cs"/>
              </a:endParaRPr>
            </a:p>
            <a:p>
              <a:r>
                <a:rPr lang="es-ES_tradnl" sz="1400">
                  <a:solidFill>
                    <a:schemeClr val="dk1"/>
                  </a:solidFill>
                  <a:effectLst/>
                  <a:ea typeface="+mn-ea"/>
                  <a:cs typeface="+mn-cs"/>
                </a:rPr>
                <a:t>b)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r>
                        <a:rPr lang="es-ES_tradnl" sz="1400" i="1">
                          <a:solidFill>
                            <a:schemeClr val="dk1"/>
                          </a:solidFill>
                          <a:effectLst/>
                          <a:latin typeface="Cambria Math" panose="02040503050406030204" pitchFamily="18" charset="0"/>
                          <a:ea typeface="+mn-ea"/>
                          <a:cs typeface="+mn-cs"/>
                        </a:rPr>
                        <m:t>&lt;</m:t>
                      </m:r>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d>
                </m:oMath>
              </a14:m>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c)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2</m:t>
                          </m:r>
                        </m:den>
                      </m:f>
                      <m:r>
                        <a:rPr lang="es-ES_tradnl" sz="1400" i="1">
                          <a:solidFill>
                            <a:schemeClr val="dk1"/>
                          </a:solidFill>
                          <a:effectLst/>
                          <a:latin typeface="Cambria Math" panose="02040503050406030204" pitchFamily="18" charset="0"/>
                          <a:ea typeface="+mn-ea"/>
                          <a:cs typeface="+mn-cs"/>
                        </a:rPr>
                        <m:t>≤</m:t>
                      </m:r>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d>
                </m:oMath>
              </a14:m>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d)</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𝑃</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&gt;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4</m:t>
                          </m:r>
                        </m:den>
                      </m:f>
                    </m:e>
                    <m:e>
                      <m:r>
                        <a:rPr lang="es-ES_tradnl" sz="1400" i="1">
                          <a:solidFill>
                            <a:schemeClr val="dk1"/>
                          </a:solidFill>
                          <a:effectLst/>
                          <a:latin typeface="Cambria Math" panose="02040503050406030204" pitchFamily="18" charset="0"/>
                          <a:ea typeface="+mn-ea"/>
                          <a:cs typeface="+mn-cs"/>
                        </a:rPr>
                        <m:t>𝑋</m:t>
                      </m:r>
                      <m:r>
                        <a:rPr lang="es-ES_tradnl" sz="1400" i="1">
                          <a:solidFill>
                            <a:schemeClr val="dk1"/>
                          </a:solidFill>
                          <a:effectLst/>
                          <a:latin typeface="Cambria Math" panose="02040503050406030204" pitchFamily="18" charset="0"/>
                          <a:ea typeface="+mn-ea"/>
                          <a:cs typeface="+mn-cs"/>
                        </a:rPr>
                        <m:t>&lt;</m:t>
                      </m: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3</m:t>
                          </m:r>
                        </m:num>
                        <m:den>
                          <m:r>
                            <a:rPr lang="es-ES_tradnl" sz="1400" i="1">
                              <a:solidFill>
                                <a:schemeClr val="dk1"/>
                              </a:solidFill>
                              <a:effectLst/>
                              <a:latin typeface="Cambria Math" panose="02040503050406030204" pitchFamily="18" charset="0"/>
                              <a:ea typeface="+mn-ea"/>
                              <a:cs typeface="+mn-cs"/>
                            </a:rPr>
                            <m:t>2</m:t>
                          </m:r>
                        </m:den>
                      </m:f>
                    </m:e>
                  </m:d>
                </m:oMath>
              </a14:m>
              <a:endParaRPr lang="es-ES" sz="14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023881E3-4675-4584-86D7-111C7C8F3746}"/>
                </a:ext>
              </a:extLst>
            </xdr:cNvPr>
            <xdr:cNvSpPr txBox="1"/>
          </xdr:nvSpPr>
          <xdr:spPr>
            <a:xfrm>
              <a:off x="0" y="1"/>
              <a:ext cx="11088414" cy="4000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4-13.</a:t>
              </a:r>
              <a:r>
                <a:rPr lang="es-ES_tradnl" sz="1400">
                  <a:solidFill>
                    <a:schemeClr val="dk1"/>
                  </a:solidFill>
                  <a:effectLst/>
                  <a:latin typeface="+mn-lt"/>
                  <a:ea typeface="+mn-ea"/>
                  <a:cs typeface="+mn-cs"/>
                </a:rPr>
                <a:t> </a:t>
              </a:r>
              <a:r>
                <a:rPr lang="es-ES_tradnl" sz="1400" i="0">
                  <a:solidFill>
                    <a:schemeClr val="dk1"/>
                  </a:solidFill>
                  <a:effectLst/>
                  <a:latin typeface="Cambria Math" panose="02040503050406030204" pitchFamily="18" charset="0"/>
                  <a:ea typeface="+mn-ea"/>
                  <a:cs typeface="+mn-cs"/>
                </a:rPr>
                <a:t>𝑋</a:t>
              </a:r>
              <a:r>
                <a:rPr lang="es-ES_tradnl" sz="1400">
                  <a:solidFill>
                    <a:schemeClr val="dk1"/>
                  </a:solidFill>
                  <a:effectLst/>
                  <a:latin typeface="+mn-lt"/>
                  <a:ea typeface="+mn-ea"/>
                  <a:cs typeface="+mn-cs"/>
                </a:rPr>
                <a:t> es una variable aleatoria con la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r>
                <a:rPr lang="es-ES_tradnl" sz="1400" i="0">
                  <a:solidFill>
                    <a:schemeClr val="dk1"/>
                  </a:solidFill>
                  <a:effectLst/>
                  <a:latin typeface="Cambria Math" panose="02040503050406030204" pitchFamily="18" charset="0"/>
                  <a:ea typeface="+mn-ea"/>
                  <a:cs typeface="+mn-cs"/>
                </a:rPr>
                <a:t>𝐹</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𝑥)=</a:t>
              </a:r>
              <a:r>
                <a:rPr lang="es-ES" sz="1400" i="0">
                  <a:solidFill>
                    <a:schemeClr val="dk1"/>
                  </a:solidFill>
                  <a:effectLst/>
                  <a:latin typeface="Cambria Math" panose="02040503050406030204" pitchFamily="18" charset="0"/>
                  <a:ea typeface="+mn-ea"/>
                  <a:cs typeface="+mn-cs"/>
                </a:rPr>
                <a:t>{■8(</a:t>
              </a:r>
              <a:r>
                <a:rPr lang="es-ES_tradnl" sz="1400" i="0">
                  <a:solidFill>
                    <a:schemeClr val="dk1"/>
                  </a:solidFill>
                  <a:effectLst/>
                  <a:latin typeface="Cambria Math" panose="02040503050406030204" pitchFamily="18" charset="0"/>
                  <a:ea typeface="+mn-ea"/>
                  <a:cs typeface="+mn-cs"/>
                </a:rPr>
                <a:t>0&amp;𝑥&lt;0@𝑥&amp;0≤𝑥&lt;1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2@3</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4&amp;1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2≤𝑥&lt;1@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6+𝑥</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8&amp;1≤𝑥&lt;2@1&amp;𝑥≥2)┤</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Calcular las siguientes probabilidades:</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r>
                <a:rPr lang="es-ES" sz="1400">
                  <a:solidFill>
                    <a:schemeClr val="dk1"/>
                  </a:solidFill>
                  <a:effectLst/>
                  <a:latin typeface="+mn-lt"/>
                  <a:ea typeface="+mn-ea"/>
                  <a:cs typeface="+mn-cs"/>
                </a:rPr>
                <a:t>a)</a:t>
              </a:r>
              <a:r>
                <a:rPr lang="es-ES" sz="1400" baseline="0">
                  <a:solidFill>
                    <a:schemeClr val="dk1"/>
                  </a:solidFill>
                  <a:effectLst/>
                  <a:latin typeface="+mn-lt"/>
                  <a:ea typeface="+mn-ea"/>
                  <a:cs typeface="+mn-cs"/>
                </a:rPr>
                <a:t> </a:t>
              </a:r>
              <a:r>
                <a:rPr lang="es-ES_tradnl" sz="1400" i="0">
                  <a:solidFill>
                    <a:schemeClr val="dk1"/>
                  </a:solidFill>
                  <a:effectLst/>
                  <a:latin typeface="Cambria Math" panose="02040503050406030204" pitchFamily="18" charset="0"/>
                  <a:ea typeface="+mn-ea"/>
                  <a:cs typeface="+mn-cs"/>
                </a:rPr>
                <a:t>𝑃</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𝑋=1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2)</a:t>
              </a:r>
              <a:endParaRPr lang="es-ES" sz="1400" i="1">
                <a:solidFill>
                  <a:schemeClr val="dk1"/>
                </a:solidFill>
                <a:effectLst/>
                <a:latin typeface="+mn-lt"/>
                <a:ea typeface="+mn-ea"/>
                <a:cs typeface="+mn-cs"/>
              </a:endParaRPr>
            </a:p>
            <a:p>
              <a:r>
                <a:rPr lang="es-ES_tradnl" sz="1400">
                  <a:solidFill>
                    <a:schemeClr val="dk1"/>
                  </a:solidFill>
                  <a:effectLst/>
                  <a:ea typeface="+mn-ea"/>
                  <a:cs typeface="+mn-cs"/>
                </a:rPr>
                <a:t>b) </a:t>
              </a:r>
              <a:r>
                <a:rPr lang="es-ES_tradnl" sz="1400" i="0">
                  <a:solidFill>
                    <a:schemeClr val="dk1"/>
                  </a:solidFill>
                  <a:effectLst/>
                  <a:latin typeface="Cambria Math" panose="02040503050406030204" pitchFamily="18" charset="0"/>
                  <a:ea typeface="+mn-ea"/>
                  <a:cs typeface="+mn-cs"/>
                </a:rPr>
                <a:t>𝑃</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2&lt;𝑋≤3</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4)</a:t>
              </a:r>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c) </a:t>
              </a:r>
              <a:r>
                <a:rPr lang="es-ES_tradnl" sz="1400" i="0">
                  <a:solidFill>
                    <a:schemeClr val="dk1"/>
                  </a:solidFill>
                  <a:effectLst/>
                  <a:latin typeface="Cambria Math" panose="02040503050406030204" pitchFamily="18" charset="0"/>
                  <a:ea typeface="+mn-ea"/>
                  <a:cs typeface="+mn-cs"/>
                </a:rPr>
                <a:t>𝑃</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1</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2≤𝑋≤3</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4)</a:t>
              </a:r>
              <a:endParaRPr lang="es-ES" sz="1400">
                <a:solidFill>
                  <a:schemeClr val="dk1"/>
                </a:solidFill>
                <a:effectLst/>
                <a:latin typeface="+mn-lt"/>
                <a:ea typeface="+mn-ea"/>
                <a:cs typeface="+mn-cs"/>
              </a:endParaRPr>
            </a:p>
            <a:p>
              <a:pPr lvl="0"/>
              <a:r>
                <a:rPr lang="es-ES_tradnl" sz="1400">
                  <a:solidFill>
                    <a:schemeClr val="dk1"/>
                  </a:solidFill>
                  <a:effectLst/>
                  <a:ea typeface="+mn-ea"/>
                  <a:cs typeface="+mn-cs"/>
                </a:rPr>
                <a:t>d)</a:t>
              </a:r>
              <a:r>
                <a:rPr lang="es-ES_tradnl" sz="1400" i="0">
                  <a:solidFill>
                    <a:schemeClr val="dk1"/>
                  </a:solidFill>
                  <a:effectLst/>
                  <a:latin typeface="Cambria Math" panose="02040503050406030204" pitchFamily="18" charset="0"/>
                  <a:ea typeface="+mn-ea"/>
                  <a:cs typeface="+mn-cs"/>
                </a:rPr>
                <a:t>𝑃</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𝑋&gt;3</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4│𝑋&lt;3</a:t>
              </a:r>
              <a:r>
                <a:rPr lang="es-ES" sz="1400" i="0">
                  <a:solidFill>
                    <a:schemeClr val="dk1"/>
                  </a:solidFill>
                  <a:effectLst/>
                  <a:latin typeface="Cambria Math" panose="02040503050406030204" pitchFamily="18" charset="0"/>
                  <a:ea typeface="+mn-ea"/>
                  <a:cs typeface="+mn-cs"/>
                </a:rPr>
                <a:t>/</a:t>
              </a:r>
              <a:r>
                <a:rPr lang="es-ES_tradnl" sz="1400" i="0">
                  <a:solidFill>
                    <a:schemeClr val="dk1"/>
                  </a:solidFill>
                  <a:effectLst/>
                  <a:latin typeface="Cambria Math" panose="02040503050406030204" pitchFamily="18" charset="0"/>
                  <a:ea typeface="+mn-ea"/>
                  <a:cs typeface="+mn-cs"/>
                </a:rPr>
                <a:t>2)</a:t>
              </a:r>
              <a:endParaRPr lang="es-ES" sz="1400">
                <a:solidFill>
                  <a:schemeClr val="dk1"/>
                </a:solidFill>
                <a:effectLst/>
                <a:latin typeface="+mn-lt"/>
                <a:ea typeface="+mn-ea"/>
                <a:cs typeface="+mn-cs"/>
              </a:endParaRPr>
            </a:p>
            <a:p>
              <a:endParaRPr lang="es-ES" sz="1100" kern="1200"/>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762000</xdr:colOff>
      <xdr:row>13</xdr:row>
      <xdr:rowOff>47296</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D135CFA5-388B-450A-8CBF-AA017875360F}"/>
                </a:ext>
              </a:extLst>
            </xdr:cNvPr>
            <xdr:cNvSpPr txBox="1"/>
          </xdr:nvSpPr>
          <xdr:spPr>
            <a:xfrm>
              <a:off x="0" y="1"/>
              <a:ext cx="11351172" cy="2506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4-11.</a:t>
              </a:r>
              <a:r>
                <a:rPr lang="es-ES_tradnl" sz="1400">
                  <a:solidFill>
                    <a:schemeClr val="dk1"/>
                  </a:solidFill>
                  <a:effectLst/>
                  <a:latin typeface="+mn-lt"/>
                  <a:ea typeface="+mn-ea"/>
                  <a:cs typeface="+mn-cs"/>
                </a:rPr>
                <a:t> El tiempo </a:t>
              </a:r>
              <a14:m>
                <m:oMath xmlns:m="http://schemas.openxmlformats.org/officeDocument/2006/math">
                  <m:r>
                    <a:rPr lang="es-ES_tradnl" sz="1400" i="1">
                      <a:solidFill>
                        <a:schemeClr val="dk1"/>
                      </a:solidFill>
                      <a:effectLst/>
                      <a:latin typeface="Cambria Math" panose="02040503050406030204" pitchFamily="18" charset="0"/>
                      <a:ea typeface="+mn-ea"/>
                      <a:cs typeface="+mn-cs"/>
                    </a:rPr>
                    <m:t>𝑇</m:t>
                  </m:r>
                </m:oMath>
              </a14:m>
              <a:r>
                <a:rPr lang="es-ES_tradnl" sz="1400">
                  <a:solidFill>
                    <a:schemeClr val="dk1"/>
                  </a:solidFill>
                  <a:effectLst/>
                  <a:latin typeface="+mn-lt"/>
                  <a:ea typeface="+mn-ea"/>
                  <a:cs typeface="+mn-cs"/>
                </a:rPr>
                <a:t> en horas requerido para reparar una máquina de control numérico tiene la siguiente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a:rPr lang="es-ES_tradnl" sz="1400" i="1">
                        <a:solidFill>
                          <a:schemeClr val="dk1"/>
                        </a:solidFill>
                        <a:effectLst/>
                        <a:latin typeface="Cambria Math" panose="02040503050406030204" pitchFamily="18" charset="0"/>
                        <a:ea typeface="+mn-ea"/>
                        <a:cs typeface="+mn-cs"/>
                      </a:rPr>
                      <m:t>𝐹</m:t>
                    </m:r>
                    <m:d>
                      <m:dPr>
                        <m:ctrlPr>
                          <a:rPr lang="es-ES" sz="1400" i="1">
                            <a:solidFill>
                              <a:schemeClr val="dk1"/>
                            </a:solidFill>
                            <a:effectLst/>
                            <a:latin typeface="Cambria Math" panose="02040503050406030204" pitchFamily="18" charset="0"/>
                            <a:ea typeface="+mn-ea"/>
                            <a:cs typeface="+mn-cs"/>
                          </a:rPr>
                        </m:ctrlPr>
                      </m:dPr>
                      <m:e>
                        <m:r>
                          <a:rPr lang="es-ES_tradnl" sz="1400" i="1">
                            <a:solidFill>
                              <a:schemeClr val="dk1"/>
                            </a:solidFill>
                            <a:effectLst/>
                            <a:latin typeface="Cambria Math" panose="02040503050406030204" pitchFamily="18" charset="0"/>
                            <a:ea typeface="+mn-ea"/>
                            <a:cs typeface="+mn-cs"/>
                          </a:rPr>
                          <m:t>𝑡</m:t>
                        </m:r>
                      </m:e>
                    </m:d>
                    <m:r>
                      <a:rPr lang="es-ES_tradnl" sz="1400" i="1">
                        <a:solidFill>
                          <a:schemeClr val="dk1"/>
                        </a:solidFill>
                        <a:effectLst/>
                        <a:latin typeface="Cambria Math" panose="02040503050406030204" pitchFamily="18" charset="0"/>
                        <a:ea typeface="+mn-ea"/>
                        <a:cs typeface="+mn-cs"/>
                      </a:rPr>
                      <m:t>=</m:t>
                    </m:r>
                    <m:d>
                      <m:dPr>
                        <m:begChr m:val="{"/>
                        <m:endChr m:val=""/>
                        <m:ctrlPr>
                          <a:rPr lang="es-ES" sz="1400" i="1">
                            <a:solidFill>
                              <a:schemeClr val="dk1"/>
                            </a:solidFill>
                            <a:effectLst/>
                            <a:latin typeface="Cambria Math" panose="02040503050406030204" pitchFamily="18" charset="0"/>
                            <a:ea typeface="+mn-ea"/>
                            <a:cs typeface="+mn-cs"/>
                          </a:rPr>
                        </m:ctrlPr>
                      </m:dPr>
                      <m:e>
                        <m:m>
                          <m:mPr>
                            <m:mcs>
                              <m:mc>
                                <m:mcPr>
                                  <m:count m:val="1"/>
                                  <m:mcJc m:val="center"/>
                                </m:mcPr>
                              </m:mc>
                            </m:mcs>
                            <m:ctrlPr>
                              <a:rPr lang="es-ES" sz="1400" i="1">
                                <a:solidFill>
                                  <a:schemeClr val="dk1"/>
                                </a:solidFill>
                                <a:effectLst/>
                                <a:latin typeface="Cambria Math" panose="02040503050406030204" pitchFamily="18" charset="0"/>
                                <a:ea typeface="+mn-ea"/>
                                <a:cs typeface="+mn-cs"/>
                              </a:rPr>
                            </m:ctrlPr>
                          </m:mPr>
                          <m:mr>
                            <m:e>
                              <m:box>
                                <m:boxPr>
                                  <m:ctrlPr>
                                    <a:rPr lang="es-ES" sz="1400" i="1">
                                      <a:solidFill>
                                        <a:schemeClr val="dk1"/>
                                      </a:solidFill>
                                      <a:effectLst/>
                                      <a:latin typeface="Cambria Math" panose="02040503050406030204" pitchFamily="18" charset="0"/>
                                      <a:ea typeface="+mn-ea"/>
                                      <a:cs typeface="+mn-cs"/>
                                    </a:rPr>
                                  </m:ctrlPr>
                                </m:boxPr>
                                <m:e>
                                  <m:argPr>
                                    <m:argSz m:val="-1"/>
                                  </m:argP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𝑡</m:t>
                                      </m:r>
                                    </m:num>
                                    <m:den>
                                      <m:r>
                                        <a:rPr lang="es-ES_tradnl" sz="1400" i="1">
                                          <a:solidFill>
                                            <a:schemeClr val="dk1"/>
                                          </a:solidFill>
                                          <a:effectLst/>
                                          <a:latin typeface="Cambria Math" panose="02040503050406030204" pitchFamily="18" charset="0"/>
                                          <a:ea typeface="+mn-ea"/>
                                          <a:cs typeface="+mn-cs"/>
                                        </a:rPr>
                                        <m:t>6</m:t>
                                      </m:r>
                                    </m:den>
                                  </m:f>
                                </m:e>
                              </m:box>
                              <m:r>
                                <a:rPr lang="es-ES_tradnl" sz="1400" i="1">
                                  <a:solidFill>
                                    <a:schemeClr val="dk1"/>
                                  </a:solidFill>
                                  <a:effectLst/>
                                  <a:latin typeface="Cambria Math" panose="02040503050406030204" pitchFamily="18" charset="0"/>
                                  <a:ea typeface="+mn-ea"/>
                                  <a:cs typeface="+mn-cs"/>
                                </a:rPr>
                                <m:t>         0≤</m:t>
                              </m:r>
                              <m:r>
                                <a:rPr lang="es-ES_tradnl" sz="1400" i="1">
                                  <a:solidFill>
                                    <a:schemeClr val="dk1"/>
                                  </a:solidFill>
                                  <a:effectLst/>
                                  <a:latin typeface="Cambria Math" panose="02040503050406030204" pitchFamily="18" charset="0"/>
                                  <a:ea typeface="+mn-ea"/>
                                  <a:cs typeface="+mn-cs"/>
                                </a:rPr>
                                <m:t>𝑡</m:t>
                              </m:r>
                              <m:r>
                                <a:rPr lang="es-ES_tradnl" sz="1400" i="1">
                                  <a:solidFill>
                                    <a:schemeClr val="dk1"/>
                                  </a:solidFill>
                                  <a:effectLst/>
                                  <a:latin typeface="Cambria Math" panose="02040503050406030204" pitchFamily="18" charset="0"/>
                                  <a:ea typeface="+mn-ea"/>
                                  <a:cs typeface="+mn-cs"/>
                                </a:rPr>
                                <m:t>≤2</m:t>
                              </m:r>
                            </m:e>
                          </m:mr>
                          <m:mr>
                            <m:e>
                              <m:box>
                                <m:boxPr>
                                  <m:ctrlPr>
                                    <a:rPr lang="es-ES" sz="1400" i="1">
                                      <a:solidFill>
                                        <a:schemeClr val="dk1"/>
                                      </a:solidFill>
                                      <a:effectLst/>
                                      <a:latin typeface="Cambria Math" panose="02040503050406030204" pitchFamily="18" charset="0"/>
                                      <a:ea typeface="+mn-ea"/>
                                      <a:cs typeface="+mn-cs"/>
                                    </a:rPr>
                                  </m:ctrlPr>
                                </m:boxPr>
                                <m:e>
                                  <m:argPr>
                                    <m:argSz m:val="-1"/>
                                  </m:argP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1</m:t>
                                      </m:r>
                                    </m:num>
                                    <m:den>
                                      <m:r>
                                        <a:rPr lang="es-ES_tradnl" sz="1400" i="1">
                                          <a:solidFill>
                                            <a:schemeClr val="dk1"/>
                                          </a:solidFill>
                                          <a:effectLst/>
                                          <a:latin typeface="Cambria Math" panose="02040503050406030204" pitchFamily="18" charset="0"/>
                                          <a:ea typeface="+mn-ea"/>
                                          <a:cs typeface="+mn-cs"/>
                                        </a:rPr>
                                        <m:t>3</m:t>
                                      </m:r>
                                    </m:den>
                                  </m:f>
                                </m:e>
                              </m:box>
                              <m:r>
                                <a:rPr lang="es-ES_tradnl" sz="1400" i="1">
                                  <a:solidFill>
                                    <a:schemeClr val="dk1"/>
                                  </a:solidFill>
                                  <a:effectLst/>
                                  <a:latin typeface="Cambria Math" panose="02040503050406030204" pitchFamily="18" charset="0"/>
                                  <a:ea typeface="+mn-ea"/>
                                  <a:cs typeface="+mn-cs"/>
                                </a:rPr>
                                <m:t>         2≤</m:t>
                              </m:r>
                              <m:r>
                                <a:rPr lang="es-ES_tradnl" sz="1400" i="1">
                                  <a:solidFill>
                                    <a:schemeClr val="dk1"/>
                                  </a:solidFill>
                                  <a:effectLst/>
                                  <a:latin typeface="Cambria Math" panose="02040503050406030204" pitchFamily="18" charset="0"/>
                                  <a:ea typeface="+mn-ea"/>
                                  <a:cs typeface="+mn-cs"/>
                                </a:rPr>
                                <m:t>𝑡</m:t>
                              </m:r>
                              <m:r>
                                <a:rPr lang="es-ES_tradnl" sz="1400" i="1">
                                  <a:solidFill>
                                    <a:schemeClr val="dk1"/>
                                  </a:solidFill>
                                  <a:effectLst/>
                                  <a:latin typeface="Cambria Math" panose="02040503050406030204" pitchFamily="18" charset="0"/>
                                  <a:ea typeface="+mn-ea"/>
                                  <a:cs typeface="+mn-cs"/>
                                </a:rPr>
                                <m:t>≤3</m:t>
                              </m:r>
                            </m:e>
                          </m:mr>
                          <m:mr>
                            <m:e>
                              <m:box>
                                <m:boxPr>
                                  <m:ctrlPr>
                                    <a:rPr lang="es-ES" sz="1400" i="1">
                                      <a:solidFill>
                                        <a:schemeClr val="dk1"/>
                                      </a:solidFill>
                                      <a:effectLst/>
                                      <a:latin typeface="Cambria Math" panose="02040503050406030204" pitchFamily="18" charset="0"/>
                                      <a:ea typeface="+mn-ea"/>
                                      <a:cs typeface="+mn-cs"/>
                                    </a:rPr>
                                  </m:ctrlPr>
                                </m:boxPr>
                                <m:e>
                                  <m:argPr>
                                    <m:argSz m:val="-1"/>
                                  </m:argPr>
                                  <m:f>
                                    <m:fPr>
                                      <m:ctrlPr>
                                        <a:rPr lang="es-ES" sz="1400" i="1">
                                          <a:solidFill>
                                            <a:schemeClr val="dk1"/>
                                          </a:solidFill>
                                          <a:effectLst/>
                                          <a:latin typeface="Cambria Math" panose="02040503050406030204" pitchFamily="18" charset="0"/>
                                          <a:ea typeface="+mn-ea"/>
                                          <a:cs typeface="+mn-cs"/>
                                        </a:rPr>
                                      </m:ctrlPr>
                                    </m:fPr>
                                    <m:num>
                                      <m:r>
                                        <a:rPr lang="es-ES_tradnl" sz="1400" i="1">
                                          <a:solidFill>
                                            <a:schemeClr val="dk1"/>
                                          </a:solidFill>
                                          <a:effectLst/>
                                          <a:latin typeface="Cambria Math" panose="02040503050406030204" pitchFamily="18" charset="0"/>
                                          <a:ea typeface="+mn-ea"/>
                                          <a:cs typeface="+mn-cs"/>
                                        </a:rPr>
                                        <m:t>𝑡</m:t>
                                      </m:r>
                                    </m:num>
                                    <m:den>
                                      <m:r>
                                        <a:rPr lang="es-ES_tradnl" sz="1400" i="1">
                                          <a:solidFill>
                                            <a:schemeClr val="dk1"/>
                                          </a:solidFill>
                                          <a:effectLst/>
                                          <a:latin typeface="Cambria Math" panose="02040503050406030204" pitchFamily="18" charset="0"/>
                                          <a:ea typeface="+mn-ea"/>
                                          <a:cs typeface="+mn-cs"/>
                                        </a:rPr>
                                        <m:t>9</m:t>
                                      </m:r>
                                    </m:den>
                                  </m:f>
                                </m:e>
                              </m:box>
                              <m:r>
                                <a:rPr lang="es-ES_tradnl" sz="1400" i="1">
                                  <a:solidFill>
                                    <a:schemeClr val="dk1"/>
                                  </a:solidFill>
                                  <a:effectLst/>
                                  <a:latin typeface="Cambria Math" panose="02040503050406030204" pitchFamily="18" charset="0"/>
                                  <a:ea typeface="+mn-ea"/>
                                  <a:cs typeface="+mn-cs"/>
                                </a:rPr>
                                <m:t>         3≤</m:t>
                              </m:r>
                              <m:r>
                                <a:rPr lang="es-ES_tradnl" sz="1400" i="1">
                                  <a:solidFill>
                                    <a:schemeClr val="dk1"/>
                                  </a:solidFill>
                                  <a:effectLst/>
                                  <a:latin typeface="Cambria Math" panose="02040503050406030204" pitchFamily="18" charset="0"/>
                                  <a:ea typeface="+mn-ea"/>
                                  <a:cs typeface="+mn-cs"/>
                                </a:rPr>
                                <m:t>𝑡</m:t>
                              </m:r>
                              <m:r>
                                <a:rPr lang="es-ES_tradnl" sz="1400" i="1">
                                  <a:solidFill>
                                    <a:schemeClr val="dk1"/>
                                  </a:solidFill>
                                  <a:effectLst/>
                                  <a:latin typeface="Cambria Math" panose="02040503050406030204" pitchFamily="18" charset="0"/>
                                  <a:ea typeface="+mn-ea"/>
                                  <a:cs typeface="+mn-cs"/>
                                </a:rPr>
                                <m:t>≤9</m:t>
                              </m:r>
                            </m:e>
                          </m:mr>
                        </m:m>
                      </m:e>
                    </m:d>
                  </m:oMath>
                </m:oMathPara>
              </a14:m>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Obtenga la función de densidad e interprete el resultado.</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Calcule la probabilidad de que la duración de la reparación sea mayor o igual que cuatro horas supuesto que el tiempo de reparación es superior a una hora.</a:t>
              </a:r>
              <a:endParaRPr lang="es-ES" sz="14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D135CFA5-388B-450A-8CBF-AA017875360F}"/>
                </a:ext>
              </a:extLst>
            </xdr:cNvPr>
            <xdr:cNvSpPr txBox="1"/>
          </xdr:nvSpPr>
          <xdr:spPr>
            <a:xfrm>
              <a:off x="0" y="1"/>
              <a:ext cx="11351172" cy="2506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400" b="1">
                  <a:solidFill>
                    <a:schemeClr val="dk1"/>
                  </a:solidFill>
                  <a:effectLst/>
                  <a:latin typeface="+mn-lt"/>
                  <a:ea typeface="+mn-ea"/>
                  <a:cs typeface="+mn-cs"/>
                </a:rPr>
                <a:t>4-11.</a:t>
              </a:r>
              <a:r>
                <a:rPr lang="es-ES_tradnl" sz="1400">
                  <a:solidFill>
                    <a:schemeClr val="dk1"/>
                  </a:solidFill>
                  <a:effectLst/>
                  <a:latin typeface="+mn-lt"/>
                  <a:ea typeface="+mn-ea"/>
                  <a:cs typeface="+mn-cs"/>
                </a:rPr>
                <a:t> El tiempo </a:t>
              </a:r>
              <a:r>
                <a:rPr lang="es-ES_tradnl" sz="1400" i="0">
                  <a:solidFill>
                    <a:schemeClr val="dk1"/>
                  </a:solidFill>
                  <a:effectLst/>
                  <a:latin typeface="+mn-lt"/>
                  <a:ea typeface="+mn-ea"/>
                  <a:cs typeface="+mn-cs"/>
                </a:rPr>
                <a:t>𝑇</a:t>
              </a:r>
              <a:r>
                <a:rPr lang="es-ES_tradnl" sz="1400">
                  <a:solidFill>
                    <a:schemeClr val="dk1"/>
                  </a:solidFill>
                  <a:effectLst/>
                  <a:latin typeface="+mn-lt"/>
                  <a:ea typeface="+mn-ea"/>
                  <a:cs typeface="+mn-cs"/>
                </a:rPr>
                <a:t> en horas requerido para reparar una máquina de control numérico tiene la siguiente función de distribución:</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r>
                <a:rPr lang="es-ES_tradnl" sz="1400" i="0">
                  <a:solidFill>
                    <a:schemeClr val="dk1"/>
                  </a:solidFill>
                  <a:effectLst/>
                  <a:latin typeface="+mn-lt"/>
                  <a:ea typeface="+mn-ea"/>
                  <a:cs typeface="+mn-cs"/>
                </a:rPr>
                <a:t>𝐹</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𝑡)=</a:t>
              </a:r>
              <a:r>
                <a:rPr lang="es-ES" sz="1400" i="0">
                  <a:solidFill>
                    <a:schemeClr val="dk1"/>
                  </a:solidFill>
                  <a:effectLst/>
                  <a:latin typeface="+mn-lt"/>
                  <a:ea typeface="+mn-ea"/>
                  <a:cs typeface="+mn-cs"/>
                </a:rPr>
                <a:t>{■8(□(64&amp;</a:t>
              </a:r>
              <a:r>
                <a:rPr lang="es-ES_tradnl" sz="1400" i="0">
                  <a:solidFill>
                    <a:schemeClr val="dk1"/>
                  </a:solidFill>
                  <a:effectLst/>
                  <a:latin typeface="+mn-lt"/>
                  <a:ea typeface="+mn-ea"/>
                  <a:cs typeface="+mn-cs"/>
                </a:rPr>
                <a:t>𝑡</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6)          0≤𝑡≤2@</a:t>
              </a:r>
              <a:r>
                <a:rPr lang="es-ES" sz="1400" i="0">
                  <a:solidFill>
                    <a:schemeClr val="dk1"/>
                  </a:solidFill>
                  <a:effectLst/>
                  <a:latin typeface="+mn-lt"/>
                  <a:ea typeface="+mn-ea"/>
                  <a:cs typeface="+mn-cs"/>
                </a:rPr>
                <a:t>□(64&amp;</a:t>
              </a:r>
              <a:r>
                <a:rPr lang="es-ES_tradnl" sz="1400" i="0">
                  <a:solidFill>
                    <a:schemeClr val="dk1"/>
                  </a:solidFill>
                  <a:effectLst/>
                  <a:latin typeface="+mn-lt"/>
                  <a:ea typeface="+mn-ea"/>
                  <a:cs typeface="+mn-cs"/>
                </a:rPr>
                <a:t>1</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3)          2≤𝑡≤3@</a:t>
              </a:r>
              <a:r>
                <a:rPr lang="es-ES" sz="1400" i="0">
                  <a:solidFill>
                    <a:schemeClr val="dk1"/>
                  </a:solidFill>
                  <a:effectLst/>
                  <a:latin typeface="+mn-lt"/>
                  <a:ea typeface="+mn-ea"/>
                  <a:cs typeface="+mn-cs"/>
                </a:rPr>
                <a:t>□(64&amp;</a:t>
              </a:r>
              <a:r>
                <a:rPr lang="es-ES_tradnl" sz="1400" i="0">
                  <a:solidFill>
                    <a:schemeClr val="dk1"/>
                  </a:solidFill>
                  <a:effectLst/>
                  <a:latin typeface="+mn-lt"/>
                  <a:ea typeface="+mn-ea"/>
                  <a:cs typeface="+mn-cs"/>
                </a:rPr>
                <a:t>𝑡</a:t>
              </a:r>
              <a:r>
                <a:rPr lang="es-ES" sz="1400" i="0">
                  <a:solidFill>
                    <a:schemeClr val="dk1"/>
                  </a:solidFill>
                  <a:effectLst/>
                  <a:latin typeface="+mn-lt"/>
                  <a:ea typeface="+mn-ea"/>
                  <a:cs typeface="+mn-cs"/>
                </a:rPr>
                <a:t>/</a:t>
              </a:r>
              <a:r>
                <a:rPr lang="es-ES_tradnl" sz="1400" i="0">
                  <a:solidFill>
                    <a:schemeClr val="dk1"/>
                  </a:solidFill>
                  <a:effectLst/>
                  <a:latin typeface="+mn-lt"/>
                  <a:ea typeface="+mn-ea"/>
                  <a:cs typeface="+mn-cs"/>
                </a:rPr>
                <a:t>9)          3≤𝑡≤9)┤</a:t>
              </a:r>
              <a:endParaRPr lang="es-ES" sz="1400">
                <a:solidFill>
                  <a:schemeClr val="dk1"/>
                </a:solidFill>
                <a:effectLst/>
                <a:latin typeface="+mn-lt"/>
                <a:ea typeface="+mn-ea"/>
                <a:cs typeface="+mn-cs"/>
              </a:endParaRPr>
            </a:p>
            <a:p>
              <a:r>
                <a:rPr lang="es-ES_tradnl" sz="1400">
                  <a:solidFill>
                    <a:schemeClr val="dk1"/>
                  </a:solidFill>
                  <a:effectLst/>
                  <a:latin typeface="+mn-lt"/>
                  <a:ea typeface="+mn-ea"/>
                  <a:cs typeface="+mn-cs"/>
                </a:rPr>
                <a:t> </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a) Obtenga la función de densidad e interprete el resultado.</a:t>
              </a:r>
              <a:endParaRPr lang="es-ES" sz="1400">
                <a:solidFill>
                  <a:schemeClr val="dk1"/>
                </a:solidFill>
                <a:effectLst/>
                <a:latin typeface="+mn-lt"/>
                <a:ea typeface="+mn-ea"/>
                <a:cs typeface="+mn-cs"/>
              </a:endParaRPr>
            </a:p>
            <a:p>
              <a:pPr lvl="0"/>
              <a:r>
                <a:rPr lang="es-ES_tradnl" sz="1400">
                  <a:solidFill>
                    <a:schemeClr val="dk1"/>
                  </a:solidFill>
                  <a:effectLst/>
                  <a:latin typeface="+mn-lt"/>
                  <a:ea typeface="+mn-ea"/>
                  <a:cs typeface="+mn-cs"/>
                </a:rPr>
                <a:t>b) Calcule la probabilidad de que la duración de la reparación sea mayor o igual que cuatro horas supuesto que el tiempo de reparación es superior a una hora.</a:t>
              </a:r>
              <a:endParaRPr lang="es-ES" sz="1400">
                <a:solidFill>
                  <a:schemeClr val="dk1"/>
                </a:solidFill>
                <a:effectLst/>
                <a:latin typeface="+mn-lt"/>
                <a:ea typeface="+mn-ea"/>
                <a:cs typeface="+mn-cs"/>
              </a:endParaRPr>
            </a:p>
            <a:p>
              <a:endParaRPr lang="es-ES" sz="1100" kern="1200"/>
            </a:p>
          </xdr:txBody>
        </xdr:sp>
      </mc:Fallback>
    </mc:AlternateContent>
    <xdr:clientData/>
  </xdr:twoCellAnchor>
  <xdr:oneCellAnchor>
    <xdr:from>
      <xdr:col>1</xdr:col>
      <xdr:colOff>889439</xdr:colOff>
      <xdr:row>16</xdr:row>
      <xdr:rowOff>65033</xdr:rowOff>
    </xdr:from>
    <xdr:ext cx="615233" cy="172227"/>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AE8F2342-CC1C-1648-B751-F0C4E880F5DA}"/>
                </a:ext>
              </a:extLst>
            </xdr:cNvPr>
            <xdr:cNvSpPr txBox="1"/>
          </xdr:nvSpPr>
          <xdr:spPr>
            <a:xfrm>
              <a:off x="2715611" y="3283826"/>
              <a:ext cx="6152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0</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𝑡</m:t>
                    </m:r>
                    <m:r>
                      <a:rPr lang="es-ES" sz="1100" b="0" i="1">
                        <a:latin typeface="Cambria Math" panose="02040503050406030204" pitchFamily="18" charset="0"/>
                        <a:ea typeface="Cambria Math" panose="02040503050406030204" pitchFamily="18" charset="0"/>
                      </a:rPr>
                      <m:t>≤2</m:t>
                    </m:r>
                  </m:oMath>
                </m:oMathPara>
              </a14:m>
              <a:endParaRPr lang="es-ES" sz="1100"/>
            </a:p>
          </xdr:txBody>
        </xdr:sp>
      </mc:Choice>
      <mc:Fallback xmlns="">
        <xdr:sp macro="" textlink="">
          <xdr:nvSpPr>
            <xdr:cNvPr id="3" name="CuadroTexto 2">
              <a:extLst>
                <a:ext uri="{FF2B5EF4-FFF2-40B4-BE49-F238E27FC236}">
                  <a16:creationId xmlns:a16="http://schemas.microsoft.com/office/drawing/2014/main" id="{AE8F2342-CC1C-1648-B751-F0C4E880F5DA}"/>
                </a:ext>
              </a:extLst>
            </xdr:cNvPr>
            <xdr:cNvSpPr txBox="1"/>
          </xdr:nvSpPr>
          <xdr:spPr>
            <a:xfrm>
              <a:off x="2715611" y="3283826"/>
              <a:ext cx="6152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0</a:t>
              </a:r>
              <a:r>
                <a:rPr lang="es-ES" sz="1100" b="0" i="0">
                  <a:latin typeface="Cambria Math" panose="02040503050406030204" pitchFamily="18" charset="0"/>
                  <a:ea typeface="Cambria Math" panose="02040503050406030204" pitchFamily="18" charset="0"/>
                </a:rPr>
                <a:t>≤𝑡≤2</a:t>
              </a:r>
              <a:endParaRPr lang="es-ES" sz="1100"/>
            </a:p>
          </xdr:txBody>
        </xdr:sp>
      </mc:Fallback>
    </mc:AlternateContent>
    <xdr:clientData/>
  </xdr:oneCellAnchor>
  <xdr:oneCellAnchor>
    <xdr:from>
      <xdr:col>1</xdr:col>
      <xdr:colOff>959069</xdr:colOff>
      <xdr:row>17</xdr:row>
      <xdr:rowOff>0</xdr:rowOff>
    </xdr:from>
    <xdr:ext cx="615233" cy="17222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18C4A385-8336-4238-9DBD-CEC4092C70D4}"/>
                </a:ext>
              </a:extLst>
            </xdr:cNvPr>
            <xdr:cNvSpPr txBox="1"/>
          </xdr:nvSpPr>
          <xdr:spPr>
            <a:xfrm>
              <a:off x="2785241" y="3488121"/>
              <a:ext cx="6152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𝑡</m:t>
                    </m:r>
                    <m:r>
                      <a:rPr lang="es-ES" sz="1100" b="0" i="1">
                        <a:latin typeface="Cambria Math" panose="02040503050406030204" pitchFamily="18" charset="0"/>
                        <a:ea typeface="Cambria Math" panose="02040503050406030204" pitchFamily="18" charset="0"/>
                      </a:rPr>
                      <m:t>≤3</m:t>
                    </m:r>
                  </m:oMath>
                </m:oMathPara>
              </a14:m>
              <a:endParaRPr lang="es-ES" sz="1100"/>
            </a:p>
          </xdr:txBody>
        </xdr:sp>
      </mc:Choice>
      <mc:Fallback xmlns="">
        <xdr:sp macro="" textlink="">
          <xdr:nvSpPr>
            <xdr:cNvPr id="4" name="CuadroTexto 3">
              <a:extLst>
                <a:ext uri="{FF2B5EF4-FFF2-40B4-BE49-F238E27FC236}">
                  <a16:creationId xmlns:a16="http://schemas.microsoft.com/office/drawing/2014/main" id="{18C4A385-8336-4238-9DBD-CEC4092C70D4}"/>
                </a:ext>
              </a:extLst>
            </xdr:cNvPr>
            <xdr:cNvSpPr txBox="1"/>
          </xdr:nvSpPr>
          <xdr:spPr>
            <a:xfrm>
              <a:off x="2785241" y="3488121"/>
              <a:ext cx="6152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2</a:t>
              </a:r>
              <a:r>
                <a:rPr lang="es-ES" sz="1100" b="0" i="0">
                  <a:latin typeface="Cambria Math" panose="02040503050406030204" pitchFamily="18" charset="0"/>
                  <a:ea typeface="Cambria Math" panose="02040503050406030204" pitchFamily="18" charset="0"/>
                </a:rPr>
                <a:t>≤𝑡≤3</a:t>
              </a:r>
              <a:endParaRPr lang="es-ES" sz="1100"/>
            </a:p>
          </xdr:txBody>
        </xdr:sp>
      </mc:Fallback>
    </mc:AlternateContent>
    <xdr:clientData/>
  </xdr:oneCellAnchor>
  <xdr:oneCellAnchor>
    <xdr:from>
      <xdr:col>1</xdr:col>
      <xdr:colOff>959069</xdr:colOff>
      <xdr:row>18</xdr:row>
      <xdr:rowOff>0</xdr:rowOff>
    </xdr:from>
    <xdr:ext cx="615233" cy="172227"/>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C8AD01C-17DE-4BC5-835E-9F2F87CD8878}"/>
                </a:ext>
              </a:extLst>
            </xdr:cNvPr>
            <xdr:cNvSpPr txBox="1"/>
          </xdr:nvSpPr>
          <xdr:spPr>
            <a:xfrm>
              <a:off x="2785241" y="3757448"/>
              <a:ext cx="6152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3</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𝑡</m:t>
                    </m:r>
                    <m:r>
                      <a:rPr lang="es-ES" sz="1100" b="0" i="1">
                        <a:latin typeface="Cambria Math" panose="02040503050406030204" pitchFamily="18" charset="0"/>
                        <a:ea typeface="Cambria Math" panose="02040503050406030204" pitchFamily="18" charset="0"/>
                      </a:rPr>
                      <m:t>≤9</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0C8AD01C-17DE-4BC5-835E-9F2F87CD8878}"/>
                </a:ext>
              </a:extLst>
            </xdr:cNvPr>
            <xdr:cNvSpPr txBox="1"/>
          </xdr:nvSpPr>
          <xdr:spPr>
            <a:xfrm>
              <a:off x="2785241" y="3757448"/>
              <a:ext cx="6152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3</a:t>
              </a:r>
              <a:r>
                <a:rPr lang="es-ES" sz="1100" b="0" i="0">
                  <a:latin typeface="Cambria Math" panose="02040503050406030204" pitchFamily="18" charset="0"/>
                  <a:ea typeface="Cambria Math" panose="02040503050406030204" pitchFamily="18" charset="0"/>
                </a:rPr>
                <a:t>≤𝑡≤9</a:t>
              </a:r>
              <a:endParaRPr lang="es-E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0:D38"/>
  <sheetViews>
    <sheetView topLeftCell="A2" zoomScale="117" zoomScaleNormal="130" workbookViewId="0">
      <selection activeCell="B34" sqref="B34"/>
    </sheetView>
  </sheetViews>
  <sheetFormatPr baseColWidth="10" defaultColWidth="8.7265625" defaultRowHeight="21" x14ac:dyDescent="1"/>
  <cols>
    <col min="1" max="1" width="12.40625" style="1" customWidth="1"/>
    <col min="2" max="2" width="36.26953125" style="1" customWidth="1"/>
    <col min="3" max="3" width="8.7265625" style="1"/>
    <col min="4" max="4" width="10.7265625" style="1" bestFit="1" customWidth="1"/>
    <col min="5" max="5" width="9.54296875" style="1" bestFit="1" customWidth="1"/>
    <col min="6" max="16384" width="8.7265625" style="1"/>
  </cols>
  <sheetData>
    <row r="20" spans="1:4" ht="21.75" thickBot="1" x14ac:dyDescent="1.1499999999999999">
      <c r="A20" s="2" t="s">
        <v>0</v>
      </c>
      <c r="B20" s="2"/>
    </row>
    <row r="21" spans="1:4" ht="21.75" thickTop="1" x14ac:dyDescent="1"/>
    <row r="22" spans="1:4" x14ac:dyDescent="1">
      <c r="A22" s="6" t="s">
        <v>6</v>
      </c>
      <c r="B22" s="3" t="s">
        <v>7</v>
      </c>
      <c r="D22" s="3" t="s">
        <v>5</v>
      </c>
    </row>
    <row r="23" spans="1:4" x14ac:dyDescent="1">
      <c r="A23" s="6">
        <v>0</v>
      </c>
      <c r="B23" s="9">
        <f>2/(3^(A23+1))</f>
        <v>0.66666666666666663</v>
      </c>
    </row>
    <row r="24" spans="1:4" x14ac:dyDescent="1">
      <c r="A24" s="6">
        <v>1</v>
      </c>
      <c r="B24" s="9">
        <f t="shared" ref="B24:B29" si="0">2/(3^(A24+1))</f>
        <v>0.22222222222222221</v>
      </c>
    </row>
    <row r="25" spans="1:4" x14ac:dyDescent="1">
      <c r="A25" s="6">
        <v>2</v>
      </c>
      <c r="B25" s="9">
        <f t="shared" si="0"/>
        <v>7.407407407407407E-2</v>
      </c>
    </row>
    <row r="26" spans="1:4" x14ac:dyDescent="1">
      <c r="A26" s="6">
        <v>3</v>
      </c>
      <c r="B26" s="9">
        <f t="shared" si="0"/>
        <v>2.4691358024691357E-2</v>
      </c>
    </row>
    <row r="27" spans="1:4" x14ac:dyDescent="1">
      <c r="A27" s="6">
        <v>4</v>
      </c>
      <c r="B27" s="9">
        <f t="shared" si="0"/>
        <v>8.23045267489712E-3</v>
      </c>
    </row>
    <row r="28" spans="1:4" x14ac:dyDescent="1">
      <c r="A28" s="6">
        <v>5</v>
      </c>
      <c r="B28" s="9">
        <f t="shared" si="0"/>
        <v>2.7434842249657062E-3</v>
      </c>
    </row>
    <row r="29" spans="1:4" x14ac:dyDescent="1">
      <c r="A29" s="6">
        <v>6</v>
      </c>
      <c r="B29" s="9">
        <f t="shared" si="0"/>
        <v>9.1449474165523545E-4</v>
      </c>
    </row>
    <row r="31" spans="1:4" ht="21.75" thickBot="1" x14ac:dyDescent="1.1499999999999999">
      <c r="A31" s="2" t="s">
        <v>1</v>
      </c>
      <c r="B31" s="2"/>
    </row>
    <row r="32" spans="1:4" ht="21.75" thickTop="1" x14ac:dyDescent="1"/>
    <row r="33" spans="1:2" x14ac:dyDescent="1">
      <c r="A33" s="4" t="s">
        <v>8</v>
      </c>
      <c r="B33" s="9">
        <f>1-SUM(B23:B28)</f>
        <v>1.371742112482921E-3</v>
      </c>
    </row>
    <row r="34" spans="1:2" x14ac:dyDescent="1">
      <c r="A34" s="4" t="s">
        <v>9</v>
      </c>
      <c r="B34" s="9">
        <f>2/3*(1/(1-(1/9)))</f>
        <v>0.75</v>
      </c>
    </row>
    <row r="35" spans="1:2" x14ac:dyDescent="1">
      <c r="A35" s="4" t="s">
        <v>10</v>
      </c>
      <c r="B35" s="9">
        <f>1-B34</f>
        <v>0.25</v>
      </c>
    </row>
    <row r="37" spans="1:2" ht="21.75" thickBot="1" x14ac:dyDescent="1.1499999999999999">
      <c r="A37" s="2" t="s">
        <v>2</v>
      </c>
      <c r="B37" s="2"/>
    </row>
    <row r="38" spans="1:2" ht="21.75" thickTop="1" x14ac:dyDescen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76EC-8E9E-467F-80FF-018F2E659CBC}">
  <dimension ref="A11:D23"/>
  <sheetViews>
    <sheetView topLeftCell="A5" zoomScale="93" zoomScaleNormal="130" workbookViewId="0">
      <selection activeCell="B18" sqref="B18"/>
    </sheetView>
  </sheetViews>
  <sheetFormatPr baseColWidth="10" defaultColWidth="10.86328125" defaultRowHeight="21" x14ac:dyDescent="1"/>
  <cols>
    <col min="1" max="1" width="21.54296875" style="1" bestFit="1" customWidth="1"/>
    <col min="2" max="2" width="25.1328125" style="1" customWidth="1"/>
    <col min="3" max="16384" width="10.86328125" style="1"/>
  </cols>
  <sheetData>
    <row r="11" spans="1:4" ht="21.75" thickBot="1" x14ac:dyDescent="1.1499999999999999">
      <c r="A11" s="2" t="s">
        <v>0</v>
      </c>
      <c r="B11" s="2"/>
      <c r="D11" s="1" t="s">
        <v>39</v>
      </c>
    </row>
    <row r="12" spans="1:4" ht="21.75" thickTop="1" x14ac:dyDescent="1"/>
    <row r="13" spans="1:4" x14ac:dyDescent="1">
      <c r="A13" s="3" t="s">
        <v>11</v>
      </c>
      <c r="B13" s="9" t="s">
        <v>40</v>
      </c>
    </row>
    <row r="16" spans="1:4" ht="21.75" thickBot="1" x14ac:dyDescent="1.1499999999999999">
      <c r="A16" s="2" t="s">
        <v>1</v>
      </c>
      <c r="B16" s="2"/>
    </row>
    <row r="17" spans="1:2" ht="21.75" thickTop="1" x14ac:dyDescent="1"/>
    <row r="18" spans="1:2" ht="21.75" x14ac:dyDescent="1.1000000000000001">
      <c r="A18" s="3" t="s">
        <v>12</v>
      </c>
      <c r="B18" s="9">
        <f>(1-0.0001)^5</f>
        <v>0.99950009999000067</v>
      </c>
    </row>
    <row r="21" spans="1:2" ht="21.75" thickBot="1" x14ac:dyDescent="1.1499999999999999">
      <c r="A21" s="2" t="s">
        <v>2</v>
      </c>
      <c r="B21" s="2"/>
    </row>
    <row r="22" spans="1:2" ht="21.75" thickTop="1" x14ac:dyDescent="1"/>
    <row r="23" spans="1:2" ht="24.5" x14ac:dyDescent="1.35">
      <c r="A23" s="3" t="s">
        <v>3</v>
      </c>
      <c r="B23" s="9">
        <f>(0.9999^2)*0.0001</f>
        <v>9.9980001000000011E-5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B023-113C-4461-9715-2F17D6EF60AD}">
  <dimension ref="A9:G31"/>
  <sheetViews>
    <sheetView zoomScale="145" zoomScaleNormal="145" workbookViewId="0">
      <selection activeCell="B31" sqref="B31"/>
    </sheetView>
  </sheetViews>
  <sheetFormatPr baseColWidth="10" defaultColWidth="10.86328125" defaultRowHeight="21" x14ac:dyDescent="1"/>
  <cols>
    <col min="1" max="1" width="14.86328125" style="1" customWidth="1"/>
    <col min="2" max="2" width="19.26953125" style="1" customWidth="1"/>
    <col min="3" max="4" width="10.86328125" style="1"/>
    <col min="5" max="5" width="18.54296875" style="1" customWidth="1"/>
    <col min="6" max="6" width="20.26953125" style="1" customWidth="1"/>
    <col min="7" max="7" width="14.40625" style="1" customWidth="1"/>
    <col min="8" max="16384" width="10.86328125" style="1"/>
  </cols>
  <sheetData>
    <row r="9" spans="1:7" ht="21.75" thickBot="1" x14ac:dyDescent="1.1499999999999999">
      <c r="A9" s="2" t="s">
        <v>0</v>
      </c>
      <c r="B9" s="2"/>
    </row>
    <row r="10" spans="1:7" ht="21.75" thickTop="1" x14ac:dyDescent="1"/>
    <row r="11" spans="1:7" ht="24" x14ac:dyDescent="1">
      <c r="A11" s="6" t="s">
        <v>6</v>
      </c>
      <c r="B11" s="3" t="s">
        <v>11</v>
      </c>
      <c r="C11" s="3" t="s">
        <v>11</v>
      </c>
      <c r="D11" s="3" t="s">
        <v>18</v>
      </c>
      <c r="F11" s="3" t="s">
        <v>11</v>
      </c>
      <c r="G11" s="9" t="s">
        <v>47</v>
      </c>
    </row>
    <row r="12" spans="1:7" x14ac:dyDescent="1">
      <c r="A12" s="3">
        <v>1</v>
      </c>
      <c r="B12" s="10" t="s">
        <v>42</v>
      </c>
      <c r="C12" s="9">
        <f>1/36</f>
        <v>2.7777777777777776E-2</v>
      </c>
      <c r="D12" s="9">
        <f>A12^2</f>
        <v>1</v>
      </c>
    </row>
    <row r="13" spans="1:7" x14ac:dyDescent="1">
      <c r="A13" s="3">
        <v>2</v>
      </c>
      <c r="B13" s="10" t="s">
        <v>41</v>
      </c>
      <c r="C13" s="9">
        <f>3/36</f>
        <v>8.3333333333333329E-2</v>
      </c>
      <c r="D13" s="9">
        <f t="shared" ref="D13:D17" si="0">A13^2</f>
        <v>4</v>
      </c>
    </row>
    <row r="14" spans="1:7" x14ac:dyDescent="1">
      <c r="A14" s="3">
        <v>3</v>
      </c>
      <c r="B14" s="10" t="s">
        <v>43</v>
      </c>
      <c r="C14" s="9">
        <f>5/36</f>
        <v>0.1388888888888889</v>
      </c>
      <c r="D14" s="9">
        <f t="shared" si="0"/>
        <v>9</v>
      </c>
    </row>
    <row r="15" spans="1:7" x14ac:dyDescent="1">
      <c r="A15" s="3">
        <v>4</v>
      </c>
      <c r="B15" s="10" t="s">
        <v>44</v>
      </c>
      <c r="C15" s="9">
        <f>7/36</f>
        <v>0.19444444444444445</v>
      </c>
      <c r="D15" s="9">
        <f t="shared" si="0"/>
        <v>16</v>
      </c>
    </row>
    <row r="16" spans="1:7" x14ac:dyDescent="1">
      <c r="A16" s="3">
        <v>5</v>
      </c>
      <c r="B16" s="10" t="s">
        <v>45</v>
      </c>
      <c r="C16" s="9">
        <f>9/36</f>
        <v>0.25</v>
      </c>
      <c r="D16" s="9">
        <f t="shared" si="0"/>
        <v>25</v>
      </c>
    </row>
    <row r="17" spans="1:4" x14ac:dyDescent="1">
      <c r="A17" s="3">
        <v>6</v>
      </c>
      <c r="B17" s="10" t="s">
        <v>46</v>
      </c>
      <c r="C17" s="9">
        <f>11/36</f>
        <v>0.30555555555555558</v>
      </c>
      <c r="D17" s="9">
        <f t="shared" si="0"/>
        <v>36</v>
      </c>
    </row>
    <row r="19" spans="1:4" ht="21.75" thickBot="1" x14ac:dyDescent="1.1499999999999999">
      <c r="A19" s="2" t="s">
        <v>1</v>
      </c>
      <c r="B19" s="2"/>
    </row>
    <row r="20" spans="1:4" ht="21.75" thickTop="1" x14ac:dyDescent="1"/>
    <row r="21" spans="1:4" x14ac:dyDescent="1">
      <c r="A21" s="3" t="s">
        <v>13</v>
      </c>
      <c r="B21" s="9">
        <f>SUMPRODUCT(A12:A17,C12:C17)</f>
        <v>4.4722222222222223</v>
      </c>
    </row>
    <row r="22" spans="1:4" ht="24" x14ac:dyDescent="1">
      <c r="A22" s="3" t="s">
        <v>14</v>
      </c>
      <c r="B22" s="9">
        <f>SUMPRODUCT(D12:D17,C12:C17)</f>
        <v>21.972222222222221</v>
      </c>
    </row>
    <row r="23" spans="1:4" ht="24" x14ac:dyDescent="1">
      <c r="A23" s="3" t="s">
        <v>15</v>
      </c>
      <c r="B23" s="9">
        <f>B22-B21^2</f>
        <v>1.9714506172839492</v>
      </c>
    </row>
    <row r="25" spans="1:4" ht="21.75" thickBot="1" x14ac:dyDescent="1.1499999999999999">
      <c r="A25" s="2" t="s">
        <v>2</v>
      </c>
      <c r="B25" s="2"/>
    </row>
    <row r="26" spans="1:4" ht="21.75" thickTop="1" x14ac:dyDescent="1"/>
    <row r="27" spans="1:4" x14ac:dyDescent="1">
      <c r="A27" s="3" t="s">
        <v>16</v>
      </c>
      <c r="B27" s="9">
        <f>C13+C15+C17</f>
        <v>0.58333333333333337</v>
      </c>
    </row>
    <row r="29" spans="1:4" ht="21.75" thickBot="1" x14ac:dyDescent="1.1499999999999999">
      <c r="A29" s="2" t="s">
        <v>4</v>
      </c>
      <c r="B29" s="2"/>
    </row>
    <row r="30" spans="1:4" ht="21.75" thickTop="1" x14ac:dyDescent="1"/>
    <row r="31" spans="1:4" ht="21.75" x14ac:dyDescent="1.1000000000000001">
      <c r="A31" s="3" t="s">
        <v>17</v>
      </c>
      <c r="B31" s="9">
        <f>C14+C15</f>
        <v>0.33333333333333337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5BB8-4BAE-4A0C-BA99-944286923E2C}">
  <dimension ref="A12:C40"/>
  <sheetViews>
    <sheetView topLeftCell="A2" zoomScale="128" zoomScaleNormal="175" workbookViewId="0">
      <selection activeCell="B40" sqref="B40"/>
    </sheetView>
  </sheetViews>
  <sheetFormatPr baseColWidth="10" defaultColWidth="11.40625" defaultRowHeight="21" x14ac:dyDescent="1"/>
  <cols>
    <col min="1" max="1" width="25.54296875" style="1" customWidth="1"/>
    <col min="2" max="2" width="17.54296875" style="1" customWidth="1"/>
    <col min="3" max="16384" width="11.40625" style="1"/>
  </cols>
  <sheetData>
    <row r="12" spans="1:2" x14ac:dyDescent="1">
      <c r="A12" s="5" t="s">
        <v>48</v>
      </c>
      <c r="B12" s="11" t="s">
        <v>51</v>
      </c>
    </row>
    <row r="13" spans="1:2" x14ac:dyDescent="1">
      <c r="A13" s="5" t="s">
        <v>53</v>
      </c>
      <c r="B13" s="11">
        <f>1/4000</f>
        <v>2.5000000000000001E-4</v>
      </c>
    </row>
    <row r="15" spans="1:2" ht="21.75" thickBot="1" x14ac:dyDescent="1.1499999999999999">
      <c r="A15" s="2" t="s">
        <v>0</v>
      </c>
      <c r="B15" s="2"/>
    </row>
    <row r="16" spans="1:2" ht="21.75" thickTop="1" x14ac:dyDescent="1"/>
    <row r="17" spans="1:2" ht="24.5" x14ac:dyDescent="1.35">
      <c r="A17" s="5" t="s">
        <v>49</v>
      </c>
      <c r="B17" s="11" t="s">
        <v>52</v>
      </c>
    </row>
    <row r="18" spans="1:2" ht="24.5" x14ac:dyDescent="1.35">
      <c r="A18" s="5" t="s">
        <v>49</v>
      </c>
      <c r="B18" s="11">
        <f>1-_xlfn.EXPON.DIST(1000,B13,TRUE)</f>
        <v>0.77880078307140488</v>
      </c>
    </row>
    <row r="20" spans="1:2" ht="21.75" thickBot="1" x14ac:dyDescent="1.1499999999999999">
      <c r="A20" s="2" t="s">
        <v>1</v>
      </c>
      <c r="B20" s="2"/>
    </row>
    <row r="21" spans="1:2" ht="21.75" thickTop="1" x14ac:dyDescent="1"/>
    <row r="22" spans="1:2" ht="24.5" x14ac:dyDescent="1.35">
      <c r="A22" s="5" t="s">
        <v>50</v>
      </c>
      <c r="B22" s="11" t="s">
        <v>54</v>
      </c>
    </row>
    <row r="23" spans="1:2" ht="24.65" customHeight="1" x14ac:dyDescent="1.35">
      <c r="A23" s="5" t="s">
        <v>50</v>
      </c>
      <c r="B23" s="11">
        <f>_xlfn.EXPON.DIST(200,B13,TRUE)</f>
        <v>4.8770575499285991E-2</v>
      </c>
    </row>
    <row r="25" spans="1:2" ht="21.75" thickBot="1" x14ac:dyDescent="1.1499999999999999">
      <c r="A25" s="2" t="s">
        <v>2</v>
      </c>
      <c r="B25" s="2"/>
    </row>
    <row r="26" spans="1:2" ht="21.75" thickTop="1" x14ac:dyDescent="1"/>
    <row r="27" spans="1:2" ht="24.5" x14ac:dyDescent="1.35">
      <c r="A27" s="5" t="s">
        <v>55</v>
      </c>
      <c r="B27" s="11" t="s">
        <v>56</v>
      </c>
    </row>
    <row r="28" spans="1:2" ht="24.5" x14ac:dyDescent="1.35">
      <c r="A28" s="5" t="s">
        <v>55</v>
      </c>
      <c r="B28" s="11">
        <f>_xlfn.EXPON.DIST(800,B13,TRUE)-_xlfn.EXPON.DIST(600,B13,TRUE)</f>
        <v>4.1977223347075959E-2</v>
      </c>
    </row>
    <row r="30" spans="1:2" ht="21.75" thickBot="1" x14ac:dyDescent="1.1499999999999999">
      <c r="A30" s="2" t="s">
        <v>4</v>
      </c>
      <c r="B30" s="2"/>
    </row>
    <row r="31" spans="1:2" ht="21.75" thickTop="1" x14ac:dyDescent="1"/>
    <row r="32" spans="1:2" x14ac:dyDescent="1">
      <c r="A32" s="5" t="s">
        <v>57</v>
      </c>
      <c r="B32" s="12">
        <v>0.05</v>
      </c>
    </row>
    <row r="33" spans="1:3" x14ac:dyDescent="1">
      <c r="A33" s="5" t="s">
        <v>6</v>
      </c>
      <c r="B33" s="11">
        <f>_xlfn.GAMMA.INV(B32,1,4000)</f>
        <v>205.17317755020215</v>
      </c>
    </row>
    <row r="35" spans="1:3" ht="21.75" thickBot="1" x14ac:dyDescent="1.1499999999999999">
      <c r="A35" s="2" t="s">
        <v>19</v>
      </c>
      <c r="B35" s="2"/>
    </row>
    <row r="36" spans="1:3" ht="21.75" thickTop="1" x14ac:dyDescent="1"/>
    <row r="37" spans="1:3" x14ac:dyDescent="1">
      <c r="A37" s="5" t="s">
        <v>20</v>
      </c>
      <c r="B37" s="13">
        <v>1000</v>
      </c>
      <c r="C37" s="14" t="s">
        <v>23</v>
      </c>
    </row>
    <row r="38" spans="1:3" x14ac:dyDescent="1">
      <c r="A38" s="5" t="s">
        <v>22</v>
      </c>
      <c r="B38" s="14">
        <v>250</v>
      </c>
      <c r="C38" s="14" t="s">
        <v>21</v>
      </c>
    </row>
    <row r="39" spans="1:3" x14ac:dyDescent="1">
      <c r="A39" s="5" t="s">
        <v>58</v>
      </c>
      <c r="B39" s="11">
        <f>_xlfn.EXPON.DIST(B38,B13,TRUE)</f>
        <v>6.0586937186524213E-2</v>
      </c>
    </row>
    <row r="40" spans="1:3" ht="24.5" x14ac:dyDescent="1.35">
      <c r="A40" s="5" t="s">
        <v>24</v>
      </c>
      <c r="B40" s="11">
        <f>_xlfn.BINOM.DIST(50,B37,B39,FALSE)</f>
        <v>2.0352949697596403E-2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9317-18D5-45CE-BAA6-ECD83F4467D1}">
  <dimension ref="A11:H29"/>
  <sheetViews>
    <sheetView topLeftCell="A25" zoomScale="145" zoomScaleNormal="145" workbookViewId="0">
      <selection activeCell="B29" sqref="B29"/>
    </sheetView>
  </sheetViews>
  <sheetFormatPr baseColWidth="10" defaultColWidth="11.40625" defaultRowHeight="21" x14ac:dyDescent="1"/>
  <cols>
    <col min="1" max="1" width="24.7265625" style="1" bestFit="1" customWidth="1"/>
    <col min="2" max="2" width="14.40625" style="1" customWidth="1"/>
    <col min="3" max="3" width="11.40625" style="1"/>
    <col min="4" max="4" width="16.54296875" style="1" bestFit="1" customWidth="1"/>
    <col min="5" max="6" width="11.40625" style="1"/>
    <col min="7" max="7" width="16.54296875" style="1" bestFit="1" customWidth="1"/>
    <col min="8" max="16384" width="11.40625" style="1"/>
  </cols>
  <sheetData>
    <row r="11" spans="1:8" ht="21.75" thickBot="1" x14ac:dyDescent="1.1499999999999999">
      <c r="A11" s="16" t="s">
        <v>25</v>
      </c>
      <c r="B11" s="16"/>
      <c r="C11" s="8"/>
      <c r="D11" s="16" t="s">
        <v>28</v>
      </c>
      <c r="E11" s="16"/>
      <c r="F11" s="8"/>
      <c r="G11" s="16" t="s">
        <v>30</v>
      </c>
      <c r="H11" s="16"/>
    </row>
    <row r="12" spans="1:8" ht="21.75" thickTop="1" x14ac:dyDescent="1">
      <c r="A12" s="5" t="s">
        <v>26</v>
      </c>
      <c r="B12" s="9">
        <f>2/6</f>
        <v>0.33333333333333331</v>
      </c>
      <c r="D12" s="5" t="s">
        <v>26</v>
      </c>
      <c r="E12" s="9">
        <f>2/6</f>
        <v>0.33333333333333331</v>
      </c>
      <c r="G12" s="5" t="s">
        <v>26</v>
      </c>
      <c r="H12" s="9">
        <f>2/6</f>
        <v>0.33333333333333331</v>
      </c>
    </row>
    <row r="13" spans="1:8" x14ac:dyDescent="1">
      <c r="A13" s="5" t="s">
        <v>27</v>
      </c>
      <c r="B13" s="9">
        <f>4/6</f>
        <v>0.66666666666666663</v>
      </c>
      <c r="D13" s="5" t="s">
        <v>27</v>
      </c>
      <c r="E13" s="9">
        <f>3/6</f>
        <v>0.5</v>
      </c>
      <c r="G13" s="5" t="s">
        <v>27</v>
      </c>
      <c r="H13" s="9">
        <f>3/6</f>
        <v>0.5</v>
      </c>
    </row>
    <row r="14" spans="1:8" x14ac:dyDescent="1">
      <c r="D14" s="5" t="s">
        <v>29</v>
      </c>
      <c r="E14" s="9">
        <f>1/6</f>
        <v>0.16666666666666666</v>
      </c>
      <c r="G14" s="5" t="s">
        <v>29</v>
      </c>
      <c r="H14" s="9">
        <f>1/6</f>
        <v>0.16666666666666666</v>
      </c>
    </row>
    <row r="16" spans="1:8" ht="21.75" thickBot="1" x14ac:dyDescent="1.1499999999999999">
      <c r="A16" s="2" t="s">
        <v>0</v>
      </c>
      <c r="B16" s="2"/>
    </row>
    <row r="17" spans="1:2" ht="21.75" thickTop="1" x14ac:dyDescent="1"/>
    <row r="18" spans="1:2" x14ac:dyDescent="1">
      <c r="A18" s="5" t="s">
        <v>31</v>
      </c>
      <c r="B18" s="11">
        <f>7/9</f>
        <v>0.77777777777777779</v>
      </c>
    </row>
    <row r="20" spans="1:2" ht="21.75" thickBot="1" x14ac:dyDescent="1.1499999999999999">
      <c r="A20" s="2" t="s">
        <v>1</v>
      </c>
      <c r="B20" s="2"/>
    </row>
    <row r="21" spans="1:2" ht="21.75" thickTop="1" x14ac:dyDescent="1"/>
    <row r="22" spans="1:2" x14ac:dyDescent="1">
      <c r="A22" s="5" t="s">
        <v>32</v>
      </c>
      <c r="B22" s="5" t="s">
        <v>7</v>
      </c>
    </row>
    <row r="23" spans="1:2" x14ac:dyDescent="1">
      <c r="A23" s="5">
        <v>1</v>
      </c>
      <c r="B23" s="15" t="s">
        <v>59</v>
      </c>
    </row>
    <row r="24" spans="1:2" x14ac:dyDescent="1">
      <c r="A24" s="5">
        <v>2</v>
      </c>
      <c r="B24" s="15" t="s">
        <v>60</v>
      </c>
    </row>
    <row r="25" spans="1:2" x14ac:dyDescent="1">
      <c r="A25" s="5">
        <v>3</v>
      </c>
      <c r="B25" s="15" t="s">
        <v>61</v>
      </c>
    </row>
    <row r="26" spans="1:2" x14ac:dyDescent="1">
      <c r="A26" s="5">
        <v>4</v>
      </c>
      <c r="B26" s="15" t="s">
        <v>62</v>
      </c>
    </row>
    <row r="27" spans="1:2" ht="39" customHeight="1" x14ac:dyDescent="1">
      <c r="A27" s="15"/>
      <c r="B27" s="15"/>
    </row>
    <row r="29" spans="1:2" x14ac:dyDescent="1">
      <c r="A29" s="5" t="s">
        <v>13</v>
      </c>
      <c r="B29" s="11">
        <f>7/3</f>
        <v>2.3333333333333335</v>
      </c>
    </row>
  </sheetData>
  <mergeCells count="3">
    <mergeCell ref="A11:B11"/>
    <mergeCell ref="D11:E11"/>
    <mergeCell ref="G11:H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1532-405B-4B34-98F6-CE427C47EE91}">
  <dimension ref="A1"/>
  <sheetViews>
    <sheetView zoomScale="145" zoomScaleNormal="145" workbookViewId="0">
      <selection activeCell="D12" sqref="D12"/>
    </sheetView>
  </sheetViews>
  <sheetFormatPr baseColWidth="10" defaultRowHeight="14.75" x14ac:dyDescent="0.75"/>
  <cols>
    <col min="1" max="1" width="24.7265625" bestFit="1" customWidth="1"/>
    <col min="2" max="2" width="14.40625" customWidth="1"/>
    <col min="4" max="4" width="16.54296875" bestFit="1" customWidth="1"/>
    <col min="7" max="7" width="16.54296875" bestFit="1"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CC70-FB01-452D-B1E8-D2682A69E007}">
  <dimension ref="A18:B21"/>
  <sheetViews>
    <sheetView topLeftCell="A13" zoomScale="145" zoomScaleNormal="145" workbookViewId="0">
      <selection activeCell="B21" sqref="B21"/>
    </sheetView>
  </sheetViews>
  <sheetFormatPr baseColWidth="10" defaultRowHeight="21" x14ac:dyDescent="1"/>
  <cols>
    <col min="1" max="1" width="27.40625" customWidth="1"/>
    <col min="2" max="2" width="14.40625" style="1" customWidth="1"/>
    <col min="4" max="4" width="16.54296875" bestFit="1" customWidth="1"/>
    <col min="7" max="7" width="16.54296875" bestFit="1" customWidth="1"/>
  </cols>
  <sheetData>
    <row r="18" spans="1:2" x14ac:dyDescent="1">
      <c r="A18" s="5" t="s">
        <v>33</v>
      </c>
      <c r="B18" s="11">
        <f>3/4</f>
        <v>0.75</v>
      </c>
    </row>
    <row r="19" spans="1:2" x14ac:dyDescent="1">
      <c r="A19" s="5" t="s">
        <v>34</v>
      </c>
      <c r="B19" s="11">
        <f>(3/4)-(3/4)</f>
        <v>0</v>
      </c>
    </row>
    <row r="20" spans="1:2" x14ac:dyDescent="1">
      <c r="A20" s="5" t="s">
        <v>35</v>
      </c>
      <c r="B20" s="11">
        <f>(3/4)-(1/2)</f>
        <v>0.25</v>
      </c>
    </row>
    <row r="21" spans="1:2" x14ac:dyDescent="1">
      <c r="A21" s="5" t="s">
        <v>36</v>
      </c>
      <c r="B21" s="11">
        <f>((15/16)-(3/4))/(15/16)</f>
        <v>0.2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AC563-802D-4543-A2E8-00D8DF98B5D5}">
  <dimension ref="A15:C23"/>
  <sheetViews>
    <sheetView tabSelected="1" topLeftCell="A3" zoomScale="145" zoomScaleNormal="145" workbookViewId="0">
      <selection activeCell="B23" sqref="B23"/>
    </sheetView>
  </sheetViews>
  <sheetFormatPr baseColWidth="10" defaultRowHeight="14.75" x14ac:dyDescent="0.75"/>
  <cols>
    <col min="1" max="1" width="27.40625" customWidth="1"/>
    <col min="2" max="2" width="14.40625" customWidth="1"/>
    <col min="4" max="4" width="16.54296875" bestFit="1" customWidth="1"/>
    <col min="7" max="7" width="16.54296875" bestFit="1" customWidth="1"/>
  </cols>
  <sheetData>
    <row r="15" spans="1:2" ht="21.75" thickBot="1" x14ac:dyDescent="1.1499999999999999">
      <c r="A15" s="2" t="s">
        <v>0</v>
      </c>
      <c r="B15" s="2"/>
    </row>
    <row r="16" spans="1:2" ht="21.75" thickTop="1" x14ac:dyDescent="1">
      <c r="A16" s="1"/>
      <c r="B16" s="1"/>
    </row>
    <row r="17" spans="1:3" ht="21" customHeight="1" x14ac:dyDescent="1">
      <c r="A17" s="17" t="s">
        <v>37</v>
      </c>
      <c r="B17" s="15" t="s">
        <v>63</v>
      </c>
      <c r="C17" s="7"/>
    </row>
    <row r="18" spans="1:3" ht="21" customHeight="1" x14ac:dyDescent="1">
      <c r="A18" s="17"/>
      <c r="B18" s="15" t="s">
        <v>64</v>
      </c>
      <c r="C18" s="7"/>
    </row>
    <row r="19" spans="1:3" ht="21" customHeight="1" x14ac:dyDescent="1">
      <c r="A19" s="17"/>
      <c r="B19" s="15" t="s">
        <v>65</v>
      </c>
      <c r="C19" s="7"/>
    </row>
    <row r="20" spans="1:3" ht="21" x14ac:dyDescent="1">
      <c r="A20" s="1"/>
      <c r="B20" s="1"/>
    </row>
    <row r="21" spans="1:3" ht="21.75" thickBot="1" x14ac:dyDescent="1.1499999999999999">
      <c r="A21" s="2" t="s">
        <v>1</v>
      </c>
      <c r="B21" s="2"/>
    </row>
    <row r="22" spans="1:3" ht="21.75" thickTop="1" x14ac:dyDescent="1">
      <c r="A22" s="1"/>
      <c r="B22" s="1"/>
    </row>
    <row r="23" spans="1:3" ht="21" x14ac:dyDescent="1">
      <c r="A23" s="5" t="s">
        <v>38</v>
      </c>
      <c r="B23" s="11">
        <f>(1-(4/9))/(1-(1/6))</f>
        <v>0.66666666666666663</v>
      </c>
    </row>
  </sheetData>
  <mergeCells count="1">
    <mergeCell ref="A17:A1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8114B6-5035-42FE-8F79-02DAA8234DBF}"/>
</file>

<file path=customXml/itemProps2.xml><?xml version="1.0" encoding="utf-8"?>
<ds:datastoreItem xmlns:ds="http://schemas.openxmlformats.org/officeDocument/2006/customXml" ds:itemID="{73B78166-7F73-4102-87F0-6F1821283615}"/>
</file>

<file path=customXml/itemProps3.xml><?xml version="1.0" encoding="utf-8"?>
<ds:datastoreItem xmlns:ds="http://schemas.openxmlformats.org/officeDocument/2006/customXml" ds:itemID="{153B86D5-A099-434F-B729-9A86D5A7CC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4.1</vt:lpstr>
      <vt:lpstr>4.4</vt:lpstr>
      <vt:lpstr>4.5</vt:lpstr>
      <vt:lpstr>4.14</vt:lpstr>
      <vt:lpstr>4.7</vt:lpstr>
      <vt:lpstr>4.10</vt:lpstr>
      <vt:lpstr>4.13</vt:lpstr>
      <vt:lpstr>4.11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dc:creator>
  <cp:lastModifiedBy>Rosa Ríos Prado</cp:lastModifiedBy>
  <dcterms:created xsi:type="dcterms:W3CDTF">2015-06-05T18:19:34Z</dcterms:created>
  <dcterms:modified xsi:type="dcterms:W3CDTF">2026-02-22T18:46:48Z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