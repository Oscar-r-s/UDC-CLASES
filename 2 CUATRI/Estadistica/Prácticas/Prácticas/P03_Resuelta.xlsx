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359" documentId="8_{4CDA7389-39B6-4003-AD9C-7CA65FA1D80B}" xr6:coauthVersionLast="47" xr6:coauthVersionMax="47" xr10:uidLastSave="{719205FB-0078-4F4D-BBA1-C8FD2BF42EA6}"/>
  <bookViews>
    <workbookView xWindow="-90" yWindow="-90" windowWidth="19380" windowHeight="11460" activeTab="7" xr2:uid="{00000000-000D-0000-FFFF-FFFF00000000}"/>
  </bookViews>
  <sheets>
    <sheet name="3.2" sheetId="1" r:id="rId1"/>
    <sheet name="3.5" sheetId="2" r:id="rId2"/>
    <sheet name="3.8" sheetId="3" r:id="rId3"/>
    <sheet name="3.6" sheetId="4" r:id="rId4"/>
    <sheet name="3.4" sheetId="5" r:id="rId5"/>
    <sheet name="3.11" sheetId="6" r:id="rId6"/>
    <sheet name="3.18" sheetId="7" r:id="rId7"/>
    <sheet name="3.13" sheetId="9" r:id="rId8"/>
    <sheet name="3.17"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9" l="1"/>
  <c r="B40" i="6"/>
  <c r="B24" i="6"/>
  <c r="C26" i="4"/>
  <c r="C17" i="4"/>
  <c r="B28" i="3"/>
  <c r="B27" i="3"/>
  <c r="B21" i="1"/>
  <c r="B61" i="10"/>
  <c r="C60" i="10"/>
  <c r="C58" i="10"/>
  <c r="B52" i="10"/>
  <c r="B53" i="10" s="1"/>
  <c r="C27" i="10"/>
  <c r="E42" i="9"/>
  <c r="E40" i="9"/>
  <c r="B40" i="9"/>
  <c r="B39" i="9"/>
  <c r="B35" i="9"/>
  <c r="B31" i="9"/>
  <c r="B26" i="9"/>
  <c r="B25" i="9"/>
  <c r="B24" i="9"/>
  <c r="B42" i="7"/>
  <c r="B43" i="7" s="1"/>
  <c r="B38" i="7"/>
  <c r="B37" i="7"/>
  <c r="B33" i="7"/>
  <c r="B43" i="6"/>
  <c r="B42" i="6"/>
  <c r="B41" i="6"/>
  <c r="E35" i="6"/>
  <c r="E34" i="6"/>
  <c r="E33" i="6"/>
  <c r="E32" i="6"/>
  <c r="B35" i="6"/>
  <c r="B34" i="6"/>
  <c r="B33" i="6"/>
  <c r="B32" i="6"/>
  <c r="B28" i="6"/>
  <c r="B27" i="6"/>
  <c r="B26" i="6"/>
  <c r="B25" i="6"/>
  <c r="C24" i="4"/>
  <c r="C23" i="4"/>
  <c r="C22" i="4"/>
  <c r="I12" i="4"/>
  <c r="I13" i="4"/>
  <c r="I11" i="4"/>
  <c r="H12" i="4"/>
  <c r="H13" i="4"/>
  <c r="H11" i="4"/>
  <c r="G12" i="4"/>
  <c r="G13" i="4"/>
  <c r="G11" i="4"/>
  <c r="B22" i="3"/>
  <c r="B17" i="3"/>
  <c r="E11" i="3"/>
  <c r="E10" i="3"/>
  <c r="B11" i="3"/>
  <c r="B12" i="3"/>
  <c r="B10" i="3"/>
  <c r="B19" i="2"/>
  <c r="B15" i="2"/>
  <c r="B11" i="2"/>
  <c r="B10" i="2"/>
  <c r="B19" i="1"/>
  <c r="B18" i="1"/>
  <c r="B17" i="1"/>
  <c r="B16" i="1"/>
  <c r="B15" i="1"/>
  <c r="B14" i="1"/>
  <c r="B13" i="1"/>
</calcChain>
</file>

<file path=xl/sharedStrings.xml><?xml version="1.0" encoding="utf-8"?>
<sst xmlns="http://schemas.openxmlformats.org/spreadsheetml/2006/main" count="149" uniqueCount="106">
  <si>
    <t>Espacio muestral</t>
  </si>
  <si>
    <t>Sucesos</t>
  </si>
  <si>
    <t>P(A)</t>
  </si>
  <si>
    <t>P(B)</t>
  </si>
  <si>
    <t>P(D)</t>
  </si>
  <si>
    <t>P(AB)</t>
  </si>
  <si>
    <t>P(AD)</t>
  </si>
  <si>
    <t>P(BD)</t>
  </si>
  <si>
    <t>P(A+B+C+D)</t>
  </si>
  <si>
    <t>Apartado a</t>
  </si>
  <si>
    <t>Apartado b</t>
  </si>
  <si>
    <r>
      <t>p</t>
    </r>
    <r>
      <rPr>
        <i/>
        <vertAlign val="subscript"/>
        <sz val="16"/>
        <color theme="0"/>
        <rFont val="Calibri"/>
        <family val="2"/>
        <scheme val="minor"/>
      </rPr>
      <t>b</t>
    </r>
  </si>
  <si>
    <t>Apartado c</t>
  </si>
  <si>
    <r>
      <t>P(A</t>
    </r>
    <r>
      <rPr>
        <i/>
        <vertAlign val="subscript"/>
        <sz val="16"/>
        <color theme="0"/>
        <rFont val="Calibri"/>
        <family val="2"/>
        <scheme val="minor"/>
      </rPr>
      <t>1</t>
    </r>
    <r>
      <rPr>
        <i/>
        <sz val="16"/>
        <color theme="0"/>
        <rFont val="Calibri"/>
        <family val="2"/>
        <scheme val="minor"/>
      </rPr>
      <t>)</t>
    </r>
  </si>
  <si>
    <r>
      <t>P(A</t>
    </r>
    <r>
      <rPr>
        <i/>
        <vertAlign val="subscript"/>
        <sz val="16"/>
        <color theme="0"/>
        <rFont val="Calibri"/>
        <family val="2"/>
        <scheme val="minor"/>
      </rPr>
      <t>2</t>
    </r>
    <r>
      <rPr>
        <i/>
        <sz val="16"/>
        <color theme="0"/>
        <rFont val="Calibri"/>
        <family val="2"/>
        <scheme val="minor"/>
      </rPr>
      <t>)</t>
    </r>
  </si>
  <si>
    <r>
      <t>P(A</t>
    </r>
    <r>
      <rPr>
        <i/>
        <vertAlign val="subscript"/>
        <sz val="16"/>
        <color theme="0"/>
        <rFont val="Calibri"/>
        <family val="2"/>
        <scheme val="minor"/>
      </rPr>
      <t>3</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</si>
  <si>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1</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</si>
  <si>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2</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</si>
  <si>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3</t>
    </r>
    <r>
      <rPr>
        <i/>
        <sz val="16"/>
        <color theme="0"/>
        <rFont val="Calibri"/>
        <family val="2"/>
        <scheme val="minor"/>
      </rPr>
      <t>)</t>
    </r>
  </si>
  <si>
    <t>P(C)</t>
  </si>
  <si>
    <t>P(E)</t>
  </si>
  <si>
    <r>
      <t>P(A</t>
    </r>
    <r>
      <rPr>
        <i/>
        <vertAlign val="subscript"/>
        <sz val="16"/>
        <color theme="0"/>
        <rFont val="Calibri"/>
        <family val="2"/>
        <scheme val="minor"/>
      </rPr>
      <t>3</t>
    </r>
    <r>
      <rPr>
        <sz val="16"/>
        <color theme="0"/>
        <rFont val="Calibri"/>
        <family val="2"/>
        <scheme val="minor"/>
      </rPr>
      <t>|</t>
    </r>
    <r>
      <rPr>
        <i/>
        <sz val="16"/>
        <color theme="0"/>
        <rFont val="Calibri"/>
        <family val="2"/>
        <scheme val="minor"/>
      </rPr>
      <t>E)</t>
    </r>
  </si>
  <si>
    <r>
      <t>P(AB+ABC</t>
    </r>
    <r>
      <rPr>
        <sz val="16"/>
        <color theme="0"/>
        <rFont val="Calibri"/>
        <family val="2"/>
        <scheme val="minor"/>
      </rPr>
      <t>|</t>
    </r>
    <r>
      <rPr>
        <i/>
        <sz val="16"/>
        <color theme="0"/>
        <rFont val="Calibri"/>
        <family val="2"/>
        <scheme val="minor"/>
      </rPr>
      <t>H)</t>
    </r>
  </si>
  <si>
    <t>Composición</t>
  </si>
  <si>
    <t>Urna</t>
  </si>
  <si>
    <t>B</t>
  </si>
  <si>
    <t>N</t>
  </si>
  <si>
    <t>R</t>
  </si>
  <si>
    <r>
      <t>A</t>
    </r>
    <r>
      <rPr>
        <vertAlign val="subscript"/>
        <sz val="12"/>
        <color theme="0"/>
        <rFont val="Calibri"/>
        <family val="2"/>
      </rPr>
      <t>1</t>
    </r>
  </si>
  <si>
    <r>
      <t>A</t>
    </r>
    <r>
      <rPr>
        <vertAlign val="subscript"/>
        <sz val="12"/>
        <color theme="0"/>
        <rFont val="Calibri"/>
        <family val="2"/>
      </rPr>
      <t>2</t>
    </r>
  </si>
  <si>
    <r>
      <t>A</t>
    </r>
    <r>
      <rPr>
        <vertAlign val="subscript"/>
        <sz val="12"/>
        <color theme="0"/>
        <rFont val="Calibri"/>
        <family val="2"/>
      </rPr>
      <t>3</t>
    </r>
  </si>
  <si>
    <r>
      <t>P(A</t>
    </r>
    <r>
      <rPr>
        <i/>
        <vertAlign val="subscript"/>
        <sz val="16"/>
        <color theme="0"/>
        <rFont val="Calibri"/>
        <family val="2"/>
        <scheme val="minor"/>
      </rPr>
      <t>i</t>
    </r>
    <r>
      <rPr>
        <i/>
        <sz val="16"/>
        <color theme="0"/>
        <rFont val="Calibri"/>
        <family val="2"/>
        <scheme val="minor"/>
      </rPr>
      <t>)</t>
    </r>
  </si>
  <si>
    <r>
      <t>P(R</t>
    </r>
    <r>
      <rPr>
        <sz val="16"/>
        <color theme="0"/>
        <rFont val="Calibri"/>
        <family val="2"/>
        <scheme val="minor"/>
      </rPr>
      <t>|</t>
    </r>
    <r>
      <rPr>
        <i/>
        <sz val="16"/>
        <color theme="0"/>
        <rFont val="Calibri"/>
        <family val="2"/>
        <scheme val="minor"/>
      </rPr>
      <t>A</t>
    </r>
    <r>
      <rPr>
        <i/>
        <vertAlign val="subscript"/>
        <sz val="16"/>
        <color theme="0"/>
        <rFont val="Calibri"/>
        <family val="2"/>
        <scheme val="minor"/>
      </rPr>
      <t>i</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</si>
  <si>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i</t>
    </r>
    <r>
      <rPr>
        <i/>
        <sz val="16"/>
        <color theme="0"/>
        <rFont val="Calibri"/>
        <family val="2"/>
        <scheme val="minor"/>
      </rPr>
      <t>)</t>
    </r>
  </si>
  <si>
    <t>P(R)</t>
  </si>
  <si>
    <r>
      <t>P(A</t>
    </r>
    <r>
      <rPr>
        <i/>
        <vertAlign val="subscript"/>
        <sz val="16"/>
        <color theme="0"/>
        <rFont val="Calibri"/>
        <family val="2"/>
        <scheme val="minor"/>
      </rPr>
      <t>2</t>
    </r>
    <r>
      <rPr>
        <sz val="16"/>
        <color theme="0"/>
        <rFont val="Calibri"/>
        <family val="2"/>
        <scheme val="minor"/>
      </rPr>
      <t>|</t>
    </r>
    <r>
      <rPr>
        <i/>
        <sz val="16"/>
        <color theme="0"/>
        <rFont val="Calibri"/>
        <family val="2"/>
        <scheme val="minor"/>
      </rPr>
      <t>B)</t>
    </r>
  </si>
  <si>
    <r>
      <t>P(A</t>
    </r>
    <r>
      <rPr>
        <i/>
        <vertAlign val="subscript"/>
        <sz val="16"/>
        <color theme="0"/>
        <rFont val="Calibri"/>
        <family val="2"/>
        <scheme val="minor"/>
      </rPr>
      <t>3</t>
    </r>
    <r>
      <rPr>
        <sz val="16"/>
        <color theme="0"/>
        <rFont val="Calibri"/>
        <family val="2"/>
        <scheme val="minor"/>
      </rPr>
      <t>|</t>
    </r>
    <r>
      <rPr>
        <i/>
        <sz val="16"/>
        <color theme="0"/>
        <rFont val="Calibri"/>
        <family val="2"/>
        <scheme val="minor"/>
      </rPr>
      <t>B)</t>
    </r>
  </si>
  <si>
    <r>
      <t>P(A</t>
    </r>
    <r>
      <rPr>
        <i/>
        <vertAlign val="subscript"/>
        <sz val="16"/>
        <color theme="0"/>
        <rFont val="Calibri"/>
        <family val="2"/>
        <scheme val="minor"/>
      </rPr>
      <t>2</t>
    </r>
    <r>
      <rPr>
        <i/>
        <sz val="16"/>
        <color theme="0"/>
        <rFont val="Calibri"/>
        <family val="2"/>
        <scheme val="minor"/>
      </rPr>
      <t>+A</t>
    </r>
    <r>
      <rPr>
        <i/>
        <vertAlign val="subscript"/>
        <sz val="16"/>
        <color theme="0"/>
        <rFont val="Calibri"/>
        <family val="2"/>
        <scheme val="minor"/>
      </rPr>
      <t>3</t>
    </r>
    <r>
      <rPr>
        <sz val="16"/>
        <color theme="0"/>
        <rFont val="Calibri"/>
        <family val="2"/>
        <scheme val="minor"/>
      </rPr>
      <t>|</t>
    </r>
    <r>
      <rPr>
        <i/>
        <sz val="16"/>
        <color theme="0"/>
        <rFont val="Calibri"/>
        <family val="2"/>
        <scheme val="minor"/>
      </rPr>
      <t>B)</t>
    </r>
  </si>
  <si>
    <t>Mujer (M)</t>
  </si>
  <si>
    <t>Hombre (H)</t>
  </si>
  <si>
    <t>Totales</t>
  </si>
  <si>
    <t>Administrativa (A)</t>
  </si>
  <si>
    <t>Enlatado (E)</t>
  </si>
  <si>
    <t>Ventas (V)</t>
  </si>
  <si>
    <t>P(M)</t>
  </si>
  <si>
    <t>P(V)</t>
  </si>
  <si>
    <t>P(HA)</t>
  </si>
  <si>
    <r>
      <t>P(E</t>
    </r>
    <r>
      <rPr>
        <sz val="16"/>
        <color theme="0"/>
        <rFont val="Calibri"/>
        <family val="2"/>
        <scheme val="minor"/>
      </rPr>
      <t>|</t>
    </r>
    <r>
      <rPr>
        <i/>
        <sz val="16"/>
        <color theme="0"/>
        <rFont val="Calibri"/>
        <family val="2"/>
        <scheme val="minor"/>
      </rPr>
      <t>M)</t>
    </r>
  </si>
  <si>
    <r>
      <t>P(M</t>
    </r>
    <r>
      <rPr>
        <sz val="16"/>
        <color theme="0"/>
        <rFont val="Calibri"/>
        <family val="2"/>
        <scheme val="minor"/>
      </rPr>
      <t>|E</t>
    </r>
    <r>
      <rPr>
        <i/>
        <sz val="16"/>
        <color theme="0"/>
        <rFont val="Calibri"/>
        <family val="2"/>
        <scheme val="minor"/>
      </rPr>
      <t>)</t>
    </r>
  </si>
  <si>
    <t>P(AM)</t>
  </si>
  <si>
    <t>P(H)</t>
  </si>
  <si>
    <t>P(VH)</t>
  </si>
  <si>
    <t>V y H son independientes</t>
  </si>
  <si>
    <t>V y H no son independientes</t>
  </si>
  <si>
    <t>A y M son independientes</t>
  </si>
  <si>
    <t>A y M no son independientes</t>
  </si>
  <si>
    <t>Independientes?</t>
  </si>
  <si>
    <t>P(A+M)</t>
  </si>
  <si>
    <t>P(EM)</t>
  </si>
  <si>
    <r>
      <t>P(M</t>
    </r>
    <r>
      <rPr>
        <sz val="16"/>
        <color theme="0"/>
        <rFont val="Calibri"/>
        <family val="2"/>
        <scheme val="minor"/>
      </rPr>
      <t>|</t>
    </r>
    <r>
      <rPr>
        <i/>
        <sz val="16"/>
        <color theme="0"/>
        <rFont val="Calibri"/>
        <family val="2"/>
        <scheme val="minor"/>
      </rPr>
      <t>A)</t>
    </r>
  </si>
  <si>
    <r>
      <t>p</t>
    </r>
    <r>
      <rPr>
        <i/>
        <vertAlign val="subscript"/>
        <sz val="16"/>
        <color theme="0"/>
        <rFont val="Calibri"/>
        <family val="2"/>
        <scheme val="minor"/>
      </rPr>
      <t>a</t>
    </r>
  </si>
  <si>
    <t>p fallo 2 componentes en paralelo</t>
  </si>
  <si>
    <t>p fallo 3 componentes en serie</t>
  </si>
  <si>
    <r>
      <t>p</t>
    </r>
    <r>
      <rPr>
        <i/>
        <vertAlign val="subscript"/>
        <sz val="16"/>
        <color theme="0"/>
        <rFont val="Calibri"/>
        <family val="2"/>
        <scheme val="minor"/>
      </rPr>
      <t>c</t>
    </r>
  </si>
  <si>
    <t>Apartado d</t>
  </si>
  <si>
    <t>P(X)</t>
  </si>
  <si>
    <t>P(Y)</t>
  </si>
  <si>
    <t>P(Z)</t>
  </si>
  <si>
    <r>
      <t>P(A</t>
    </r>
    <r>
      <rPr>
        <sz val="16"/>
        <color theme="0"/>
        <rFont val="Calibri"/>
        <family val="2"/>
        <scheme val="minor"/>
      </rPr>
      <t>|</t>
    </r>
    <r>
      <rPr>
        <i/>
        <sz val="16"/>
        <color theme="0"/>
        <rFont val="Calibri"/>
        <family val="2"/>
        <scheme val="minor"/>
      </rPr>
      <t>X)</t>
    </r>
  </si>
  <si>
    <t>P(YZ)</t>
  </si>
  <si>
    <t>Si</t>
  </si>
  <si>
    <t>No</t>
  </si>
  <si>
    <r>
      <t>P(YZ</t>
    </r>
    <r>
      <rPr>
        <sz val="16"/>
        <color theme="0"/>
        <rFont val="Calibri"/>
        <family val="2"/>
        <scheme val="minor"/>
      </rPr>
      <t>|</t>
    </r>
    <r>
      <rPr>
        <i/>
        <sz val="16"/>
        <color theme="0"/>
        <rFont val="Calibri"/>
        <family val="2"/>
        <scheme val="minor"/>
      </rPr>
      <t>A)</t>
    </r>
  </si>
  <si>
    <r>
      <t>P(Y</t>
    </r>
    <r>
      <rPr>
        <sz val="16"/>
        <color theme="0"/>
        <rFont val="Calibri"/>
        <family val="2"/>
        <scheme val="minor"/>
      </rPr>
      <t>|</t>
    </r>
    <r>
      <rPr>
        <i/>
        <sz val="16"/>
        <color theme="0"/>
        <rFont val="Calibri"/>
        <family val="2"/>
        <scheme val="minor"/>
      </rPr>
      <t>A)</t>
    </r>
  </si>
  <si>
    <r>
      <t>P(Z</t>
    </r>
    <r>
      <rPr>
        <sz val="16"/>
        <color theme="0"/>
        <rFont val="Calibri"/>
        <family val="2"/>
        <scheme val="minor"/>
      </rPr>
      <t>|</t>
    </r>
    <r>
      <rPr>
        <i/>
        <sz val="16"/>
        <color theme="0"/>
        <rFont val="Calibri"/>
        <family val="2"/>
        <scheme val="minor"/>
      </rPr>
      <t>A)</t>
    </r>
  </si>
  <si>
    <r>
      <t>P(Y</t>
    </r>
    <r>
      <rPr>
        <sz val="16"/>
        <color theme="0"/>
        <rFont val="Calibri"/>
        <family val="2"/>
        <scheme val="minor"/>
      </rPr>
      <t xml:space="preserve">|   </t>
    </r>
    <r>
      <rPr>
        <i/>
        <sz val="16"/>
        <color theme="0"/>
        <rFont val="Calibri"/>
        <family val="2"/>
        <scheme val="minor"/>
      </rPr>
      <t>)</t>
    </r>
  </si>
  <si>
    <r>
      <t>P(Z</t>
    </r>
    <r>
      <rPr>
        <sz val="16"/>
        <color theme="0"/>
        <rFont val="Calibri"/>
        <family val="2"/>
        <scheme val="minor"/>
      </rPr>
      <t xml:space="preserve">|   </t>
    </r>
    <r>
      <rPr>
        <i/>
        <sz val="16"/>
        <color theme="0"/>
        <rFont val="Calibri"/>
        <family val="2"/>
        <scheme val="minor"/>
      </rPr>
      <t>)</t>
    </r>
  </si>
  <si>
    <r>
      <t>P(YZ</t>
    </r>
    <r>
      <rPr>
        <sz val="16"/>
        <color theme="0"/>
        <rFont val="Calibri"/>
        <family val="2"/>
        <scheme val="minor"/>
      </rPr>
      <t>|</t>
    </r>
    <r>
      <rPr>
        <i/>
        <sz val="16"/>
        <color theme="0"/>
        <rFont val="Calibri"/>
        <family val="2"/>
        <scheme val="minor"/>
      </rPr>
      <t xml:space="preserve">    )</t>
    </r>
  </si>
  <si>
    <r>
      <t>P(D</t>
    </r>
    <r>
      <rPr>
        <sz val="16"/>
        <color theme="0"/>
        <rFont val="Calibri"/>
        <family val="2"/>
        <scheme val="minor"/>
      </rPr>
      <t>|</t>
    </r>
    <r>
      <rPr>
        <i/>
        <sz val="16"/>
        <color theme="0"/>
        <rFont val="Calibri"/>
        <family val="2"/>
        <scheme val="minor"/>
      </rPr>
      <t xml:space="preserve">   )</t>
    </r>
  </si>
  <si>
    <t>E(Y)</t>
  </si>
  <si>
    <t>{1,2,3….6000}</t>
  </si>
  <si>
    <t>A={Multiplo de 2}</t>
  </si>
  <si>
    <t>B={Múltiplo de 3}</t>
  </si>
  <si>
    <t>C={Múltiplo de 4}</t>
  </si>
  <si>
    <t>D={Múltiplo de 5}</t>
  </si>
  <si>
    <t>P(ABD)</t>
  </si>
  <si>
    <t>Diagrama de Venn</t>
  </si>
  <si>
    <t>P(V)*P(H)</t>
  </si>
  <si>
    <t>P(A)*P(M)</t>
  </si>
  <si>
    <t>P fallo diseño A</t>
  </si>
  <si>
    <t>P fallo diseño B</t>
  </si>
  <si>
    <t>P fallo diseño C</t>
  </si>
  <si>
    <t>A suceso A inocente</t>
  </si>
  <si>
    <t>B suceso B testifica que A inocente</t>
  </si>
  <si>
    <t>C suceso C testifica que A inocente</t>
  </si>
  <si>
    <t>X sucesos los testigos dan testimonios contrapuestos</t>
  </si>
  <si>
    <t>Y suceso B comete perjurio</t>
  </si>
  <si>
    <t>Z suceso C comete perjurio</t>
  </si>
  <si>
    <t>P(B|A)</t>
  </si>
  <si>
    <t>P(C|A)</t>
  </si>
  <si>
    <t>Probabilidad</t>
  </si>
  <si>
    <t>x</t>
  </si>
  <si>
    <t>Beneficio neúmatico bueno</t>
  </si>
  <si>
    <t>Pérdida por desechar</t>
  </si>
  <si>
    <t>Pérdida por enviar defectuoso</t>
  </si>
  <si>
    <t>Costes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</si>
</sst>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2"/>
      <color theme="1"/>
      <name val="Calibri"/>
      <family val="2"/>
    </font>
    <font>
      <vertAlign val="subscript"/>
      <sz val="12"/>
      <color theme="0"/>
      <name val="Calibri"/>
      <family val="2"/>
    </font>
    <font>
      <sz val="16"/>
      <color theme="1"/>
      <name val="Calibri"/>
      <family val="2"/>
    </font>
    <font>
      <b/>
      <sz val="11"/>
      <color theme="0"/>
      <name val="Calibri"/>
      <family val="2"/>
      <scheme val="minor"/>
    </font>
  </fonts>
  <fills count="6">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
      <patternFill patternType="solid">
        <fgColor rgb="FFA5A5A5"/>
      </patternFill>
    </fill>
  </fills>
  <borders count="7">
    <border>
      <left/>
      <right/>
      <top/>
      <bottom/>
      <diagonal/>
    </border>
    <border>
      <left/>
      <right/>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rgb="FF365F91"/>
      </right>
      <top/>
      <bottom style="thick">
        <color rgb="FF365F91"/>
      </bottom>
      <diagonal/>
    </border>
    <border>
      <left/>
      <right style="thick">
        <color rgb="FF365F91"/>
      </right>
      <top/>
      <bottom style="dotted">
        <color rgb="FF365F91"/>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0" fillId="5" borderId="6" applyNumberFormat="0" applyAlignment="0" applyProtection="0"/>
  </cellStyleXfs>
  <cellXfs count="25">
    <xf numFmtId="0" fontId="0" fillId="0" borderId="0" xfId="0"/>
    <xf numFmtId="0" fontId="3" fillId="2" borderId="0" xfId="1" applyFont="1"/>
    <xf numFmtId="0" fontId="4" fillId="0" borderId="0" xfId="0" applyFont="1"/>
    <xf numFmtId="0" fontId="1" fillId="3" borderId="0" xfId="2"/>
    <xf numFmtId="0" fontId="4" fillId="0" borderId="1" xfId="0" applyFont="1" applyBorder="1"/>
    <xf numFmtId="0" fontId="5" fillId="2" borderId="0" xfId="1" applyFont="1"/>
    <xf numFmtId="0" fontId="7" fillId="0" borderId="0" xfId="0" applyFont="1" applyAlignment="1">
      <alignment horizontal="justify" vertical="center" wrapText="1"/>
    </xf>
    <xf numFmtId="0" fontId="7" fillId="0" borderId="2" xfId="0" applyFont="1" applyBorder="1" applyAlignment="1">
      <alignment horizontal="justify" vertical="center" wrapText="1"/>
    </xf>
    <xf numFmtId="0" fontId="3" fillId="2" borderId="2" xfId="1" applyFont="1" applyBorder="1" applyAlignment="1">
      <alignment horizontal="center"/>
    </xf>
    <xf numFmtId="0" fontId="3" fillId="2" borderId="2" xfId="1" applyFont="1" applyBorder="1"/>
    <xf numFmtId="0" fontId="1" fillId="4" borderId="2" xfId="3" applyBorder="1" applyAlignment="1">
      <alignment horizontal="center" vertical="center" wrapText="1"/>
    </xf>
    <xf numFmtId="0" fontId="5" fillId="2" borderId="2" xfId="1" applyFont="1" applyBorder="1" applyAlignment="1">
      <alignment horizontal="center"/>
    </xf>
    <xf numFmtId="0" fontId="3" fillId="2" borderId="3" xfId="1" applyFont="1" applyBorder="1"/>
    <xf numFmtId="2" fontId="1" fillId="3" borderId="2" xfId="2" applyNumberFormat="1" applyBorder="1" applyAlignment="1">
      <alignment horizontal="center" vertical="center" wrapText="1"/>
    </xf>
    <xf numFmtId="0" fontId="9" fillId="0" borderId="4" xfId="0" applyFont="1" applyBorder="1" applyAlignment="1">
      <alignment horizontal="justify" vertical="center" wrapText="1"/>
    </xf>
    <xf numFmtId="0" fontId="4" fillId="4" borderId="5" xfId="3" applyFont="1" applyBorder="1" applyAlignment="1">
      <alignment horizontal="right" vertical="center" wrapText="1"/>
    </xf>
    <xf numFmtId="0" fontId="4" fillId="4" borderId="4" xfId="3" applyFont="1" applyBorder="1" applyAlignment="1">
      <alignment horizontal="right" vertical="center" wrapText="1"/>
    </xf>
    <xf numFmtId="0" fontId="5" fillId="2" borderId="0" xfId="1" applyFont="1" applyAlignment="1"/>
    <xf numFmtId="0" fontId="10" fillId="5" borderId="6" xfId="4"/>
    <xf numFmtId="0" fontId="3" fillId="2" borderId="0" xfId="1" applyFont="1" applyAlignment="1">
      <alignment horizontal="left" vertical="center"/>
    </xf>
    <xf numFmtId="0" fontId="5" fillId="2" borderId="0" xfId="1" applyFont="1" applyAlignment="1">
      <alignment horizontal="left"/>
    </xf>
    <xf numFmtId="0" fontId="1" fillId="3" borderId="0" xfId="2" applyAlignment="1">
      <alignment horizontal="center"/>
    </xf>
    <xf numFmtId="0" fontId="3" fillId="2" borderId="2" xfId="1" applyFont="1" applyBorder="1" applyAlignment="1">
      <alignment horizontal="center"/>
    </xf>
    <xf numFmtId="2" fontId="1" fillId="3" borderId="0" xfId="2" applyNumberFormat="1" applyAlignment="1">
      <alignment horizontal="center"/>
    </xf>
    <xf numFmtId="0" fontId="5" fillId="2" borderId="0" xfId="1" applyFont="1" applyAlignment="1">
      <alignment horizontal="left" vertical="center"/>
    </xf>
  </cellXfs>
  <cellStyles count="5">
    <cellStyle name="20% - Énfasis2" xfId="2" builtinId="34"/>
    <cellStyle name="20% - Énfasis3" xfId="3" builtinId="38"/>
    <cellStyle name="Celda de comprobación" xfId="4" builtinId="23"/>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2.wmf"/></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_rels/drawing9.x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46893</xdr:colOff>
      <xdr:row>3</xdr:row>
      <xdr:rowOff>146539</xdr:rowOff>
    </xdr:to>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181492" cy="955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s-ES" sz="1400" b="1">
              <a:solidFill>
                <a:schemeClr val="dk1"/>
              </a:solidFill>
              <a:effectLst/>
              <a:latin typeface="+mn-lt"/>
              <a:ea typeface="+mn-ea"/>
              <a:cs typeface="+mn-cs"/>
            </a:rPr>
            <a:t>3-2.</a:t>
          </a:r>
          <a:r>
            <a:rPr lang="es-ES" sz="1400">
              <a:solidFill>
                <a:schemeClr val="dk1"/>
              </a:solidFill>
              <a:effectLst/>
              <a:latin typeface="+mn-lt"/>
              <a:ea typeface="+mn-ea"/>
              <a:cs typeface="+mn-cs"/>
            </a:rPr>
            <a:t> Se elige al azar un número del 1 al 6000, todos igualmente probables. Hallar la probabilidad de que sea múltiplo de 2 ó de 3 ó de 4 ó de 5.</a:t>
          </a:r>
          <a:endParaRPr lang="es-ES" sz="1400">
            <a:effectLst/>
          </a:endParaRPr>
        </a:p>
        <a:p>
          <a:endParaRPr lang="es-ES" sz="1100" kern="1200"/>
        </a:p>
      </xdr:txBody>
    </xdr:sp>
    <xdr:clientData/>
  </xdr:twoCellAnchor>
  <xdr:twoCellAnchor>
    <xdr:from>
      <xdr:col>3</xdr:col>
      <xdr:colOff>65941</xdr:colOff>
      <xdr:row>6</xdr:row>
      <xdr:rowOff>153866</xdr:rowOff>
    </xdr:from>
    <xdr:to>
      <xdr:col>14</xdr:col>
      <xdr:colOff>293076</xdr:colOff>
      <xdr:row>11</xdr:row>
      <xdr:rowOff>227134</xdr:rowOff>
    </xdr:to>
    <xdr:sp macro="" textlink="">
      <xdr:nvSpPr>
        <xdr:cNvPr id="2" name="CuadroTexto 1">
          <a:extLst>
            <a:ext uri="{FF2B5EF4-FFF2-40B4-BE49-F238E27FC236}">
              <a16:creationId xmlns:a16="http://schemas.microsoft.com/office/drawing/2014/main" id="{7EE723F4-4E71-7D83-4AC2-6330A02CCDED}"/>
            </a:ext>
          </a:extLst>
        </xdr:cNvPr>
        <xdr:cNvSpPr txBox="1"/>
      </xdr:nvSpPr>
      <xdr:spPr>
        <a:xfrm>
          <a:off x="5722326" y="1736481"/>
          <a:ext cx="6594231" cy="1392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chemeClr val="dk1"/>
              </a:solidFill>
              <a:effectLst/>
              <a:latin typeface="+mn-lt"/>
              <a:ea typeface="+mn-ea"/>
              <a:cs typeface="+mn-cs"/>
            </a:rPr>
            <a:t>La probabilidad de que sea múltiplo de 2 ó de 3 ó de 4 ó de 5, es</a:t>
          </a:r>
          <a:r>
            <a:rPr lang="es-ES" sz="1100" baseline="0">
              <a:solidFill>
                <a:schemeClr val="dk1"/>
              </a:solidFill>
              <a:effectLst/>
              <a:latin typeface="+mn-lt"/>
              <a:ea typeface="+mn-ea"/>
              <a:cs typeface="+mn-cs"/>
            </a:rPr>
            <a:t> la probabilidad de que se de el suceso A ó B ó C ó D, por lo tanto es la unión de esos sucesos. Así las probabilidad pedida sería P(A+B+C+D), pero como ser múltiplo de 4 está incluido en múltiplo de 2, entonces la probabilidad es P(A+B+D)</a:t>
          </a:r>
        </a:p>
        <a:p>
          <a:endParaRPr lang="es-ES" sz="1100" baseline="0">
            <a:solidFill>
              <a:schemeClr val="dk1"/>
            </a:solidFill>
            <a:effectLst/>
            <a:latin typeface="+mn-lt"/>
            <a:ea typeface="+mn-ea"/>
            <a:cs typeface="+mn-cs"/>
          </a:endParaRPr>
        </a:p>
        <a:p>
          <a:r>
            <a:rPr lang="es-ES" sz="1100" baseline="0">
              <a:solidFill>
                <a:schemeClr val="dk1"/>
              </a:solidFill>
              <a:effectLst/>
              <a:latin typeface="+mn-lt"/>
              <a:ea typeface="+mn-ea"/>
              <a:cs typeface="+mn-cs"/>
            </a:rPr>
            <a:t>La probilidad de esa unión es: P(A+B+D)=P(A)+P(B)+P(D)-P(AB)-P(AD)-P(BD)+P(ABD)</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11724</xdr:colOff>
      <xdr:row>6</xdr:row>
      <xdr:rowOff>105410</xdr:rowOff>
    </xdr:to>
    <xdr:sp macro="" textlink="">
      <xdr:nvSpPr>
        <xdr:cNvPr id="2" name="CuadroTexto 1">
          <a:extLst>
            <a:ext uri="{FF2B5EF4-FFF2-40B4-BE49-F238E27FC236}">
              <a16:creationId xmlns:a16="http://schemas.microsoft.com/office/drawing/2014/main" id="{3AB29412-7BBD-41F2-A05E-20A634D40D4F}"/>
            </a:ext>
          </a:extLst>
        </xdr:cNvPr>
        <xdr:cNvSpPr txBox="1"/>
      </xdr:nvSpPr>
      <xdr:spPr>
        <a:xfrm>
          <a:off x="1" y="0"/>
          <a:ext cx="10890738" cy="1723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3-5.</a:t>
          </a:r>
          <a:r>
            <a:rPr lang="es-ES" sz="1400">
              <a:solidFill>
                <a:schemeClr val="dk1"/>
              </a:solidFill>
              <a:effectLst/>
              <a:latin typeface="+mn-lt"/>
              <a:ea typeface="+mn-ea"/>
              <a:cs typeface="+mn-cs"/>
            </a:rPr>
            <a:t> Tres periódicos A, B y C se publican en una determinada ciudad. Una encuesta muestra que un 20% de la población adulta lee A, 16% lee B, 14% lee C, 8% leen A y B, 5% A y C, 4% B y C. Un 2% leen los tres. Si una persona adulta es seleccionada al azar, encontrar la probabilidad de que:</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a:t>
          </a:r>
          <a:r>
            <a:rPr lang="es-ES_tradnl" sz="1400" u="none" strike="noStrike" baseline="0">
              <a:solidFill>
                <a:schemeClr val="dk1"/>
              </a:solidFill>
              <a:effectLst/>
              <a:latin typeface="+mn-lt"/>
              <a:ea typeface="+mn-ea"/>
              <a:cs typeface="+mn-cs"/>
            </a:rPr>
            <a:t> </a:t>
          </a:r>
          <a:r>
            <a:rPr lang="es-ES_tradnl" sz="1400" u="none" strike="noStrike">
              <a:solidFill>
                <a:schemeClr val="dk1"/>
              </a:solidFill>
              <a:effectLst/>
              <a:latin typeface="+mn-lt"/>
              <a:ea typeface="+mn-ea"/>
              <a:cs typeface="+mn-cs"/>
            </a:rPr>
            <a:t>no lea ninguno de los tres periódicos,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lea sólo uno de los tres,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c) lea al menos A y B si se conoce que lee al menos un periódico.</a:t>
          </a:r>
          <a:endParaRPr lang="es-ES" sz="1400" u="none" strike="noStrike">
            <a:solidFill>
              <a:schemeClr val="dk1"/>
            </a:solidFill>
            <a:effectLst/>
            <a:latin typeface="+mn-lt"/>
            <a:ea typeface="+mn-ea"/>
            <a:cs typeface="+mn-cs"/>
          </a:endParaRPr>
        </a:p>
        <a:p>
          <a:endParaRPr lang="es-ES" sz="1100" kern="1200"/>
        </a:p>
      </xdr:txBody>
    </xdr:sp>
    <xdr:clientData/>
  </xdr:twoCellAnchor>
  <xdr:oneCellAnchor>
    <xdr:from>
      <xdr:col>0</xdr:col>
      <xdr:colOff>159385</xdr:colOff>
      <xdr:row>9</xdr:row>
      <xdr:rowOff>14605</xdr:rowOff>
    </xdr:from>
    <xdr:ext cx="1098506" cy="243143"/>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CA941F34-EAA3-7EFA-C56C-34F0A6DE203B}"/>
                </a:ext>
              </a:extLst>
            </xdr:cNvPr>
            <xdr:cNvSpPr txBox="1"/>
          </xdr:nvSpPr>
          <xdr:spPr>
            <a:xfrm>
              <a:off x="159385" y="2148205"/>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i="1">
                        <a:solidFill>
                          <a:schemeClr val="bg1"/>
                        </a:solidFill>
                        <a:effectLst/>
                        <a:latin typeface="Cambria Math" panose="02040503050406030204" pitchFamily="18" charset="0"/>
                        <a:ea typeface="+mn-ea"/>
                        <a:cs typeface="+mn-cs"/>
                      </a:rPr>
                      <m:t>𝑃</m:t>
                    </m:r>
                    <m:d>
                      <m:dPr>
                        <m:ctrlPr>
                          <a:rPr lang="es-ES" sz="1400" i="1">
                            <a:solidFill>
                              <a:schemeClr val="bg1"/>
                            </a:solidFill>
                            <a:effectLst/>
                            <a:latin typeface="Cambria Math" panose="02040503050406030204" pitchFamily="18" charset="0"/>
                            <a:ea typeface="+mn-ea"/>
                            <a:cs typeface="+mn-cs"/>
                          </a:rPr>
                        </m:ctrlPr>
                      </m:dPr>
                      <m:e>
                        <m:acc>
                          <m:accPr>
                            <m:chr m:val="̅"/>
                            <m:ctrlPr>
                              <a:rPr lang="es-ES" sz="1400" i="1">
                                <a:solidFill>
                                  <a:schemeClr val="bg1"/>
                                </a:solidFill>
                                <a:effectLst/>
                                <a:latin typeface="Cambria Math" panose="02040503050406030204" pitchFamily="18" charset="0"/>
                                <a:ea typeface="+mn-ea"/>
                                <a:cs typeface="+mn-cs"/>
                              </a:rPr>
                            </m:ctrlPr>
                          </m:accPr>
                          <m:e>
                            <m:r>
                              <a:rPr lang="es-ES" sz="1400" i="1">
                                <a:solidFill>
                                  <a:schemeClr val="bg1"/>
                                </a:solidFill>
                                <a:effectLst/>
                                <a:latin typeface="Cambria Math" panose="02040503050406030204" pitchFamily="18" charset="0"/>
                                <a:ea typeface="+mn-ea"/>
                                <a:cs typeface="+mn-cs"/>
                              </a:rPr>
                              <m:t>𝐴</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𝐵</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𝐶</m:t>
                            </m:r>
                          </m:e>
                        </m:acc>
                      </m:e>
                    </m:d>
                  </m:oMath>
                </m:oMathPara>
              </a14:m>
              <a:endParaRPr lang="es-ES" sz="1400" kern="1200">
                <a:solidFill>
                  <a:schemeClr val="bg1"/>
                </a:solidFill>
                <a:latin typeface="+mn-lt"/>
              </a:endParaRPr>
            </a:p>
          </xdr:txBody>
        </xdr:sp>
      </mc:Choice>
      <mc:Fallback xmlns="">
        <xdr:sp macro="" textlink="">
          <xdr:nvSpPr>
            <xdr:cNvPr id="3" name="CuadroTexto 2">
              <a:extLst>
                <a:ext uri="{FF2B5EF4-FFF2-40B4-BE49-F238E27FC236}">
                  <a16:creationId xmlns:a16="http://schemas.microsoft.com/office/drawing/2014/main" id="{CA941F34-EAA3-7EFA-C56C-34F0A6DE203B}"/>
                </a:ext>
              </a:extLst>
            </xdr:cNvPr>
            <xdr:cNvSpPr txBox="1"/>
          </xdr:nvSpPr>
          <xdr:spPr>
            <a:xfrm>
              <a:off x="159385" y="2148205"/>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400" i="0">
                  <a:solidFill>
                    <a:schemeClr val="bg1"/>
                  </a:solidFill>
                  <a:effectLst/>
                  <a:latin typeface="+mn-lt"/>
                  <a:ea typeface="+mn-ea"/>
                  <a:cs typeface="+mn-cs"/>
                </a:rPr>
                <a:t>𝑃((𝐴+𝐵+𝐶) ̅ )</a:t>
              </a:r>
              <a:endParaRPr lang="es-ES" sz="1400" kern="1200">
                <a:solidFill>
                  <a:schemeClr val="bg1"/>
                </a:solidFill>
                <a:latin typeface="+mn-lt"/>
              </a:endParaRPr>
            </a:p>
          </xdr:txBody>
        </xdr:sp>
      </mc:Fallback>
    </mc:AlternateContent>
    <xdr:clientData/>
  </xdr:oneCellAnchor>
  <xdr:twoCellAnchor editAs="oneCell">
    <xdr:from>
      <xdr:col>4</xdr:col>
      <xdr:colOff>117232</xdr:colOff>
      <xdr:row>7</xdr:row>
      <xdr:rowOff>0</xdr:rowOff>
    </xdr:from>
    <xdr:to>
      <xdr:col>8</xdr:col>
      <xdr:colOff>29308</xdr:colOff>
      <xdr:row>16</xdr:row>
      <xdr:rowOff>195990</xdr:rowOff>
    </xdr:to>
    <xdr:pic>
      <xdr:nvPicPr>
        <xdr:cNvPr id="4" name="Imagen 3">
          <a:extLst>
            <a:ext uri="{FF2B5EF4-FFF2-40B4-BE49-F238E27FC236}">
              <a16:creationId xmlns:a16="http://schemas.microsoft.com/office/drawing/2014/main" id="{A0ADC050-92BD-1297-F06B-A7FFBA3D8F8D}"/>
            </a:ext>
          </a:extLst>
        </xdr:cNvPr>
        <xdr:cNvPicPr>
          <a:picLocks noChangeAspect="1"/>
        </xdr:cNvPicPr>
      </xdr:nvPicPr>
      <xdr:blipFill>
        <a:blip xmlns:r="http://schemas.openxmlformats.org/officeDocument/2006/relationships" r:embed="rId1" cstate="print"/>
        <a:srcRect/>
        <a:stretch>
          <a:fillRect/>
        </a:stretch>
      </xdr:blipFill>
      <xdr:spPr bwMode="auto">
        <a:xfrm>
          <a:off x="4681905" y="1846385"/>
          <a:ext cx="2813538" cy="2672490"/>
        </a:xfrm>
        <a:prstGeom prst="rect">
          <a:avLst/>
        </a:prstGeom>
        <a:noFill/>
        <a:ln w="9525">
          <a:noFill/>
          <a:miter lim="800000"/>
          <a:headEnd/>
          <a:tailEnd/>
        </a:ln>
      </xdr:spPr>
    </xdr:pic>
    <xdr:clientData/>
  </xdr:twoCellAnchor>
  <xdr:oneCellAnchor>
    <xdr:from>
      <xdr:col>0</xdr:col>
      <xdr:colOff>159385</xdr:colOff>
      <xdr:row>10</xdr:row>
      <xdr:rowOff>14605</xdr:rowOff>
    </xdr:from>
    <xdr:ext cx="1098506" cy="24314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F80CB2E2-CEF5-4C65-96AF-FCDEFA62100E}"/>
                </a:ext>
              </a:extLst>
            </xdr:cNvPr>
            <xdr:cNvSpPr txBox="1"/>
          </xdr:nvSpPr>
          <xdr:spPr>
            <a:xfrm>
              <a:off x="159385" y="2417836"/>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i="1">
                        <a:solidFill>
                          <a:schemeClr val="bg1"/>
                        </a:solidFill>
                        <a:effectLst/>
                        <a:latin typeface="Cambria Math" panose="02040503050406030204" pitchFamily="18" charset="0"/>
                        <a:ea typeface="+mn-ea"/>
                        <a:cs typeface="+mn-cs"/>
                      </a:rPr>
                      <m:t>𝑃</m:t>
                    </m:r>
                    <m:d>
                      <m:dPr>
                        <m:ctrlPr>
                          <a:rPr lang="es-ES" sz="1400" i="1">
                            <a:solidFill>
                              <a:schemeClr val="bg1"/>
                            </a:solidFill>
                            <a:effectLst/>
                            <a:latin typeface="Cambria Math" panose="02040503050406030204" pitchFamily="18" charset="0"/>
                            <a:ea typeface="+mn-ea"/>
                            <a:cs typeface="+mn-cs"/>
                          </a:rPr>
                        </m:ctrlPr>
                      </m:dPr>
                      <m:e>
                        <m:acc>
                          <m:accPr>
                            <m:chr m:val="̅"/>
                            <m:ctrlPr>
                              <a:rPr lang="es-ES" sz="1400" i="1">
                                <a:solidFill>
                                  <a:schemeClr val="bg1"/>
                                </a:solidFill>
                                <a:effectLst/>
                                <a:latin typeface="Cambria Math" panose="02040503050406030204" pitchFamily="18" charset="0"/>
                                <a:ea typeface="+mn-ea"/>
                                <a:cs typeface="+mn-cs"/>
                              </a:rPr>
                            </m:ctrlPr>
                          </m:accPr>
                          <m:e>
                            <m:r>
                              <a:rPr lang="es-ES" sz="1400" i="1">
                                <a:solidFill>
                                  <a:schemeClr val="bg1"/>
                                </a:solidFill>
                                <a:effectLst/>
                                <a:latin typeface="Cambria Math" panose="02040503050406030204" pitchFamily="18" charset="0"/>
                                <a:ea typeface="+mn-ea"/>
                                <a:cs typeface="+mn-cs"/>
                              </a:rPr>
                              <m:t>𝐴</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𝐵</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𝐶</m:t>
                            </m:r>
                          </m:e>
                        </m:acc>
                      </m:e>
                    </m:d>
                  </m:oMath>
                </m:oMathPara>
              </a14:m>
              <a:endParaRPr lang="es-ES" sz="1400" kern="1200">
                <a:solidFill>
                  <a:schemeClr val="bg1"/>
                </a:solidFill>
                <a:latin typeface="+mn-lt"/>
              </a:endParaRPr>
            </a:p>
          </xdr:txBody>
        </xdr:sp>
      </mc:Choice>
      <mc:Fallback xmlns="">
        <xdr:sp macro="" textlink="">
          <xdr:nvSpPr>
            <xdr:cNvPr id="5" name="CuadroTexto 4">
              <a:extLst>
                <a:ext uri="{FF2B5EF4-FFF2-40B4-BE49-F238E27FC236}">
                  <a16:creationId xmlns:a16="http://schemas.microsoft.com/office/drawing/2014/main" id="{F80CB2E2-CEF5-4C65-96AF-FCDEFA62100E}"/>
                </a:ext>
              </a:extLst>
            </xdr:cNvPr>
            <xdr:cNvSpPr txBox="1"/>
          </xdr:nvSpPr>
          <xdr:spPr>
            <a:xfrm>
              <a:off x="159385" y="2417836"/>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400" i="0">
                  <a:solidFill>
                    <a:schemeClr val="bg1"/>
                  </a:solidFill>
                  <a:effectLst/>
                  <a:latin typeface="Cambria Math" panose="02040503050406030204" pitchFamily="18" charset="0"/>
                  <a:ea typeface="+mn-ea"/>
                  <a:cs typeface="+mn-cs"/>
                </a:rPr>
                <a:t>𝑃((𝐴+𝐵+𝐶) ̅ )</a:t>
              </a:r>
              <a:endParaRPr lang="es-ES" sz="1400" kern="1200">
                <a:solidFill>
                  <a:schemeClr val="bg1"/>
                </a:solidFill>
                <a:latin typeface="+mn-lt"/>
              </a:endParaRPr>
            </a:p>
          </xdr:txBody>
        </xdr:sp>
      </mc:Fallback>
    </mc:AlternateContent>
    <xdr:clientData/>
  </xdr:oneCellAnchor>
  <xdr:twoCellAnchor>
    <xdr:from>
      <xdr:col>2</xdr:col>
      <xdr:colOff>696058</xdr:colOff>
      <xdr:row>17</xdr:row>
      <xdr:rowOff>102577</xdr:rowOff>
    </xdr:from>
    <xdr:to>
      <xdr:col>8</xdr:col>
      <xdr:colOff>300404</xdr:colOff>
      <xdr:row>20</xdr:row>
      <xdr:rowOff>124558</xdr:rowOff>
    </xdr:to>
    <xdr:sp macro="" textlink="">
      <xdr:nvSpPr>
        <xdr:cNvPr id="6" name="CuadroTexto 5">
          <a:extLst>
            <a:ext uri="{FF2B5EF4-FFF2-40B4-BE49-F238E27FC236}">
              <a16:creationId xmlns:a16="http://schemas.microsoft.com/office/drawing/2014/main" id="{886777F0-DEAC-F4DA-248B-8976A687B968}"/>
            </a:ext>
          </a:extLst>
        </xdr:cNvPr>
        <xdr:cNvSpPr txBox="1"/>
      </xdr:nvSpPr>
      <xdr:spPr>
        <a:xfrm>
          <a:off x="3810000" y="4703885"/>
          <a:ext cx="4777154" cy="827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Hay que</a:t>
          </a:r>
          <a:r>
            <a:rPr lang="es-ES" sz="1100" baseline="0"/>
            <a:t> definir un nuevo suceso H, ya que es una probabilidad condicionada, ya que sabemos que se lee al menos un periódico. Y la probabilidad es que lea al menos A y B, por lo tanto va a leer almenos AB cuando lee AyB y cuando lee A,B y C. Pero el leer ABC está contenido en AB, por lo tanto tenemos la P(AB|H). </a:t>
          </a:r>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45721</xdr:colOff>
      <xdr:row>7</xdr:row>
      <xdr:rowOff>143510</xdr:rowOff>
    </xdr:to>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9189720" cy="2010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3-8.</a:t>
          </a:r>
          <a:r>
            <a:rPr lang="es-ES" sz="1400">
              <a:solidFill>
                <a:schemeClr val="dk1"/>
              </a:solidFill>
              <a:effectLst/>
              <a:latin typeface="+mn-lt"/>
              <a:ea typeface="+mn-ea"/>
              <a:cs typeface="+mn-cs"/>
            </a:rPr>
            <a:t> Una caja contiene tres monedas: dos normales y una con dos caras. Se elige una moneda al azar y se efectúa una tirada. Si sale cara se tira otra vez. Si sale cruz se elige una de las otras dos monedas y se efectúa otro lanzamiento. Calcular:</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 Probabilidad de obtener dos caras.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Probabilidad de que aparezca cruz las dos veces.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c) Supuesto que se ha tirado la misma moneda las dos veces, probabilidad de que sea la moneda con dos caras.</a:t>
          </a:r>
          <a:endParaRPr lang="es-ES" sz="1400" u="none" strike="noStrike">
            <a:solidFill>
              <a:schemeClr val="dk1"/>
            </a:solidFill>
            <a:effectLst/>
            <a:latin typeface="+mn-lt"/>
            <a:ea typeface="+mn-ea"/>
            <a:cs typeface="+mn-cs"/>
          </a:endParaRPr>
        </a:p>
        <a:p>
          <a:endParaRPr lang="es-ES" sz="1100" kern="1200"/>
        </a:p>
      </xdr:txBody>
    </xdr:sp>
    <xdr:clientData/>
  </xdr:twoCellAnchor>
  <xdr:twoCellAnchor>
    <xdr:from>
      <xdr:col>5</xdr:col>
      <xdr:colOff>545224</xdr:colOff>
      <xdr:row>8</xdr:row>
      <xdr:rowOff>223345</xdr:rowOff>
    </xdr:from>
    <xdr:to>
      <xdr:col>11</xdr:col>
      <xdr:colOff>26276</xdr:colOff>
      <xdr:row>13</xdr:row>
      <xdr:rowOff>19707</xdr:rowOff>
    </xdr:to>
    <xdr:sp macro="" textlink="">
      <xdr:nvSpPr>
        <xdr:cNvPr id="3" name="CuadroTexto 2">
          <a:extLst>
            <a:ext uri="{FF2B5EF4-FFF2-40B4-BE49-F238E27FC236}">
              <a16:creationId xmlns:a16="http://schemas.microsoft.com/office/drawing/2014/main" id="{C589D218-E4B2-764F-89FD-9CD54623F9F7}"/>
            </a:ext>
          </a:extLst>
        </xdr:cNvPr>
        <xdr:cNvSpPr txBox="1"/>
      </xdr:nvSpPr>
      <xdr:spPr>
        <a:xfrm>
          <a:off x="6477000" y="2377966"/>
          <a:ext cx="3816569" cy="1241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Ai es el suceso elegir</a:t>
          </a:r>
          <a:r>
            <a:rPr lang="es-ES" sz="1100" baseline="0"/>
            <a:t> la moneda i, y B es el suceso dos caras, en una moneda</a:t>
          </a:r>
        </a:p>
        <a:p>
          <a:r>
            <a:rPr lang="es-ES" sz="1100" baseline="0"/>
            <a:t>Por lo tanto P(B|A1)=P(B|A2)=(1/2)*(1/2)</a:t>
          </a:r>
        </a:p>
        <a:p>
          <a:r>
            <a:rPr lang="es-ES" sz="1100" baseline="0"/>
            <a:t>3 es la moneda con dos caras</a:t>
          </a:r>
        </a:p>
        <a:p>
          <a:endParaRPr lang="es-ES" sz="1100"/>
        </a:p>
      </xdr:txBody>
    </xdr:sp>
    <xdr:clientData/>
  </xdr:twoCellAnchor>
  <xdr:oneCellAnchor>
    <xdr:from>
      <xdr:col>2</xdr:col>
      <xdr:colOff>199696</xdr:colOff>
      <xdr:row>15</xdr:row>
      <xdr:rowOff>78170</xdr:rowOff>
    </xdr:from>
    <xdr:ext cx="1704889" cy="475900"/>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6E727E4A-A302-D0EF-3451-4C7E0745034F}"/>
                </a:ext>
              </a:extLst>
            </xdr:cNvPr>
            <xdr:cNvSpPr txBox="1"/>
          </xdr:nvSpPr>
          <xdr:spPr>
            <a:xfrm>
              <a:off x="2814144" y="4223187"/>
              <a:ext cx="170488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d>
                      <m:dPr>
                        <m:ctrlPr>
                          <a:rPr lang="es-ES" sz="1100" b="0" i="1">
                            <a:latin typeface="Cambria Math" panose="02040503050406030204" pitchFamily="18" charset="0"/>
                          </a:rPr>
                        </m:ctrlPr>
                      </m:dPr>
                      <m:e>
                        <m:r>
                          <a:rPr lang="es-ES" sz="1100" b="0" i="1">
                            <a:latin typeface="Cambria Math" panose="02040503050406030204" pitchFamily="18" charset="0"/>
                          </a:rPr>
                          <m:t>𝐵</m:t>
                        </m:r>
                      </m:e>
                    </m:d>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r>
                          <a:rPr lang="es-ES" sz="1100" b="0" i="1">
                            <a:latin typeface="Cambria Math" panose="02040503050406030204" pitchFamily="18" charset="0"/>
                          </a:rPr>
                          <m:t>=1</m:t>
                        </m:r>
                      </m:sub>
                      <m:sup>
                        <m:r>
                          <a:rPr lang="es-ES" sz="1100" b="0" i="1">
                            <a:latin typeface="Cambria Math" panose="02040503050406030204" pitchFamily="18" charset="0"/>
                          </a:rPr>
                          <m:t>3</m:t>
                        </m:r>
                      </m:sup>
                      <m:e>
                        <m:r>
                          <a:rPr lang="es-ES" sz="1100" b="0" i="1">
                            <a:latin typeface="Cambria Math" panose="02040503050406030204" pitchFamily="18" charset="0"/>
                          </a:rPr>
                          <m:t>𝑃</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𝐴</m:t>
                            </m:r>
                          </m:e>
                          <m:sub>
                            <m:r>
                              <a:rPr lang="es-ES" sz="1100" b="0" i="1">
                                <a:latin typeface="Cambria Math" panose="02040503050406030204" pitchFamily="18" charset="0"/>
                              </a:rPr>
                              <m:t>𝑖</m:t>
                            </m:r>
                          </m:sub>
                        </m:sSub>
                        <m:r>
                          <a:rPr lang="es-ES" sz="1100" b="0" i="1">
                            <a:latin typeface="Cambria Math" panose="02040503050406030204" pitchFamily="18" charset="0"/>
                          </a:rPr>
                          <m:t>)</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𝑃</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𝐵</m:t>
                        </m:r>
                        <m:r>
                          <a:rPr lang="es-ES" sz="1100" b="0" i="1">
                            <a:latin typeface="Cambria Math" panose="02040503050406030204" pitchFamily="18" charset="0"/>
                            <a:ea typeface="Cambria Math" panose="02040503050406030204" pitchFamily="18" charset="0"/>
                          </a:rPr>
                          <m:t>|</m:t>
                        </m:r>
                        <m:sSub>
                          <m:sSubPr>
                            <m:ctrlPr>
                              <a:rPr lang="es-ES" sz="1100" b="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𝐴</m:t>
                            </m:r>
                          </m:e>
                          <m:sub>
                            <m:r>
                              <a:rPr lang="es-ES" sz="1100" b="0" i="1">
                                <a:latin typeface="Cambria Math" panose="02040503050406030204" pitchFamily="18" charset="0"/>
                                <a:ea typeface="Cambria Math" panose="02040503050406030204" pitchFamily="18" charset="0"/>
                              </a:rPr>
                              <m:t>𝑖</m:t>
                            </m:r>
                          </m:sub>
                        </m:sSub>
                        <m:r>
                          <a:rPr lang="es-ES" sz="1100" b="0" i="1">
                            <a:latin typeface="Cambria Math" panose="02040503050406030204" pitchFamily="18" charset="0"/>
                            <a:ea typeface="Cambria Math" panose="02040503050406030204" pitchFamily="18" charset="0"/>
                          </a:rPr>
                          <m:t>)</m:t>
                        </m:r>
                      </m:e>
                    </m:nary>
                  </m:oMath>
                </m:oMathPara>
              </a14:m>
              <a:endParaRPr lang="es-ES" sz="1100"/>
            </a:p>
          </xdr:txBody>
        </xdr:sp>
      </mc:Choice>
      <mc:Fallback xmlns="">
        <xdr:sp macro="" textlink="">
          <xdr:nvSpPr>
            <xdr:cNvPr id="4" name="CuadroTexto 3">
              <a:extLst>
                <a:ext uri="{FF2B5EF4-FFF2-40B4-BE49-F238E27FC236}">
                  <a16:creationId xmlns:a16="http://schemas.microsoft.com/office/drawing/2014/main" id="{6E727E4A-A302-D0EF-3451-4C7E0745034F}"/>
                </a:ext>
              </a:extLst>
            </xdr:cNvPr>
            <xdr:cNvSpPr txBox="1"/>
          </xdr:nvSpPr>
          <xdr:spPr>
            <a:xfrm>
              <a:off x="2814144" y="4223187"/>
              <a:ext cx="170488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𝑃(𝐵)=∑24_(𝑖=1)^3▒〖𝑃(𝐴_𝑖)</a:t>
              </a:r>
              <a:r>
                <a:rPr lang="es-ES" sz="1100" b="0" i="0">
                  <a:latin typeface="Cambria Math" panose="02040503050406030204" pitchFamily="18" charset="0"/>
                  <a:ea typeface="Cambria Math" panose="02040503050406030204" pitchFamily="18" charset="0"/>
                </a:rPr>
                <a:t>×𝑃(𝐵|𝐴_𝑖)〗</a:t>
              </a:r>
              <a:endParaRPr lang="es-ES" sz="1100"/>
            </a:p>
          </xdr:txBody>
        </xdr:sp>
      </mc:Fallback>
    </mc:AlternateContent>
    <xdr:clientData/>
  </xdr:oneCellAnchor>
  <xdr:twoCellAnchor editAs="oneCell">
    <xdr:from>
      <xdr:col>2</xdr:col>
      <xdr:colOff>216775</xdr:colOff>
      <xdr:row>17</xdr:row>
      <xdr:rowOff>124811</xdr:rowOff>
    </xdr:from>
    <xdr:to>
      <xdr:col>4</xdr:col>
      <xdr:colOff>672004</xdr:colOff>
      <xdr:row>25</xdr:row>
      <xdr:rowOff>78826</xdr:rowOff>
    </xdr:to>
    <xdr:pic>
      <xdr:nvPicPr>
        <xdr:cNvPr id="5" name="Imagen 4">
          <a:extLst>
            <a:ext uri="{FF2B5EF4-FFF2-40B4-BE49-F238E27FC236}">
              <a16:creationId xmlns:a16="http://schemas.microsoft.com/office/drawing/2014/main" id="{D898CA1A-50EF-AB0C-6A51-CE7A9E31E3A0}"/>
            </a:ext>
          </a:extLst>
        </xdr:cNvPr>
        <xdr:cNvPicPr>
          <a:picLocks noChangeAspect="1"/>
        </xdr:cNvPicPr>
      </xdr:nvPicPr>
      <xdr:blipFill>
        <a:blip xmlns:r="http://schemas.openxmlformats.org/officeDocument/2006/relationships" r:embed="rId1" cstate="print"/>
        <a:srcRect/>
        <a:stretch>
          <a:fillRect/>
        </a:stretch>
      </xdr:blipFill>
      <xdr:spPr bwMode="auto">
        <a:xfrm>
          <a:off x="2831223" y="4815052"/>
          <a:ext cx="2419350" cy="2128343"/>
        </a:xfrm>
        <a:prstGeom prst="rect">
          <a:avLst/>
        </a:prstGeom>
        <a:noFill/>
        <a:ln w="9525">
          <a:noFill/>
          <a:miter lim="800000"/>
          <a:headEnd/>
          <a:tailEnd/>
        </a:ln>
      </xdr:spPr>
    </xdr:pic>
    <xdr:clientData/>
  </xdr:twoCellAnchor>
  <xdr:twoCellAnchor>
    <xdr:from>
      <xdr:col>2</xdr:col>
      <xdr:colOff>722586</xdr:colOff>
      <xdr:row>26</xdr:row>
      <xdr:rowOff>0</xdr:rowOff>
    </xdr:from>
    <xdr:to>
      <xdr:col>6</xdr:col>
      <xdr:colOff>499241</xdr:colOff>
      <xdr:row>30</xdr:row>
      <xdr:rowOff>131379</xdr:rowOff>
    </xdr:to>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8DF3E5BC-2516-4CB2-821B-A434CDACED23}"/>
                </a:ext>
              </a:extLst>
            </xdr:cNvPr>
            <xdr:cNvSpPr txBox="1"/>
          </xdr:nvSpPr>
          <xdr:spPr>
            <a:xfrm>
              <a:off x="3337034" y="7140466"/>
              <a:ext cx="3816569" cy="1241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E es el suceso de tirar dos veces la misma moneda. Eso significa</a:t>
              </a:r>
              <a:r>
                <a:rPr lang="es-ES" sz="1100" baseline="0"/>
                <a:t> dos caras con esa moneda. Es decir la probabilidad total de que la primera tirada haya sido cara</a:t>
              </a:r>
            </a:p>
            <a:p>
              <a:r>
                <a:rPr lang="es-ES" sz="1100" baseline="0"/>
                <a:t>Sabiendo eso tenemos que obtener la probabilidad condicionada de que sea la moneda 3, esa que se lanza dos veces </a:t>
              </a:r>
              <a14:m>
                <m:oMath xmlns:m="http://schemas.openxmlformats.org/officeDocument/2006/math">
                  <m:r>
                    <a:rPr lang="es-ES" sz="1100" b="0" i="1" baseline="0">
                      <a:latin typeface="Cambria Math" panose="02040503050406030204" pitchFamily="18" charset="0"/>
                    </a:rPr>
                    <m:t>𝑃</m:t>
                  </m:r>
                  <m:d>
                    <m:dPr>
                      <m:ctrlPr>
                        <a:rPr lang="es-ES" sz="1100" b="0" i="1" baseline="0">
                          <a:latin typeface="Cambria Math" panose="02040503050406030204" pitchFamily="18" charset="0"/>
                        </a:rPr>
                      </m:ctrlPr>
                    </m:dPr>
                    <m:e>
                      <m:sSub>
                        <m:sSubPr>
                          <m:ctrlPr>
                            <a:rPr lang="es-ES" sz="1100" b="0" i="1" baseline="0">
                              <a:latin typeface="Cambria Math" panose="02040503050406030204" pitchFamily="18" charset="0"/>
                            </a:rPr>
                          </m:ctrlPr>
                        </m:sSubPr>
                        <m:e>
                          <m:r>
                            <a:rPr lang="es-ES" sz="1100" b="0" i="1" baseline="0">
                              <a:latin typeface="Cambria Math" panose="02040503050406030204" pitchFamily="18" charset="0"/>
                            </a:rPr>
                            <m:t>𝐴</m:t>
                          </m:r>
                        </m:e>
                        <m:sub>
                          <m:r>
                            <a:rPr lang="es-ES" sz="1100" b="0" i="1" baseline="0">
                              <a:latin typeface="Cambria Math" panose="02040503050406030204" pitchFamily="18" charset="0"/>
                            </a:rPr>
                            <m:t>3</m:t>
                          </m:r>
                        </m:sub>
                      </m:sSub>
                    </m:e>
                    <m:e>
                      <m:r>
                        <a:rPr lang="es-ES" sz="1100" b="0" i="1" baseline="0">
                          <a:latin typeface="Cambria Math" panose="02040503050406030204" pitchFamily="18" charset="0"/>
                        </a:rPr>
                        <m:t>𝐸</m:t>
                      </m:r>
                    </m:e>
                  </m:d>
                  <m:r>
                    <a:rPr lang="es-ES" sz="1100" b="0" i="1" baseline="0">
                      <a:latin typeface="Cambria Math" panose="02040503050406030204" pitchFamily="18" charset="0"/>
                    </a:rPr>
                    <m:t>=</m:t>
                  </m:r>
                  <m:f>
                    <m:fPr>
                      <m:ctrlPr>
                        <a:rPr lang="es-ES" sz="1100" b="0" i="1" baseline="0">
                          <a:latin typeface="Cambria Math" panose="02040503050406030204" pitchFamily="18" charset="0"/>
                        </a:rPr>
                      </m:ctrlPr>
                    </m:fPr>
                    <m:num>
                      <m:r>
                        <a:rPr lang="es-ES" sz="1100" b="0" i="1" baseline="0">
                          <a:latin typeface="Cambria Math" panose="02040503050406030204" pitchFamily="18" charset="0"/>
                        </a:rPr>
                        <m:t>𝑃</m:t>
                      </m:r>
                      <m:r>
                        <a:rPr lang="es-ES" sz="1100" b="0" i="1" baseline="0">
                          <a:latin typeface="Cambria Math" panose="02040503050406030204" pitchFamily="18" charset="0"/>
                        </a:rPr>
                        <m:t>(</m:t>
                      </m:r>
                      <m:sSub>
                        <m:sSubPr>
                          <m:ctrlPr>
                            <a:rPr lang="es-ES" sz="1100" b="0" i="1" baseline="0">
                              <a:latin typeface="Cambria Math" panose="02040503050406030204" pitchFamily="18" charset="0"/>
                            </a:rPr>
                          </m:ctrlPr>
                        </m:sSubPr>
                        <m:e>
                          <m:r>
                            <a:rPr lang="es-ES" sz="1100" b="0" i="1" baseline="0">
                              <a:latin typeface="Cambria Math" panose="02040503050406030204" pitchFamily="18" charset="0"/>
                            </a:rPr>
                            <m:t>𝐴</m:t>
                          </m:r>
                        </m:e>
                        <m:sub>
                          <m:r>
                            <a:rPr lang="es-ES" sz="1100" b="0" i="1" baseline="0">
                              <a:latin typeface="Cambria Math" panose="02040503050406030204" pitchFamily="18" charset="0"/>
                            </a:rPr>
                            <m:t>3</m:t>
                          </m:r>
                        </m:sub>
                      </m:sSub>
                      <m:r>
                        <a:rPr lang="es-ES" sz="1100" b="0" i="1" baseline="0">
                          <a:latin typeface="Cambria Math" panose="02040503050406030204" pitchFamily="18" charset="0"/>
                        </a:rPr>
                        <m:t>𝐸</m:t>
                      </m:r>
                      <m:r>
                        <a:rPr lang="es-ES" sz="1100" b="0" i="1" baseline="0">
                          <a:latin typeface="Cambria Math" panose="02040503050406030204" pitchFamily="18" charset="0"/>
                        </a:rPr>
                        <m:t>)</m:t>
                      </m:r>
                    </m:num>
                    <m:den>
                      <m:r>
                        <a:rPr lang="es-ES" sz="1100" b="0" i="1" baseline="0">
                          <a:latin typeface="Cambria Math" panose="02040503050406030204" pitchFamily="18" charset="0"/>
                        </a:rPr>
                        <m:t>𝑃</m:t>
                      </m:r>
                      <m:r>
                        <a:rPr lang="es-ES" sz="1100" b="0" i="1" baseline="0">
                          <a:latin typeface="Cambria Math" panose="02040503050406030204" pitchFamily="18" charset="0"/>
                        </a:rPr>
                        <m:t>(</m:t>
                      </m:r>
                      <m:r>
                        <a:rPr lang="es-ES" sz="1100" b="0" i="1" baseline="0">
                          <a:latin typeface="Cambria Math" panose="02040503050406030204" pitchFamily="18" charset="0"/>
                        </a:rPr>
                        <m:t>𝐸</m:t>
                      </m:r>
                      <m:r>
                        <a:rPr lang="es-ES" sz="1100" b="0" i="1" baseline="0">
                          <a:latin typeface="Cambria Math" panose="02040503050406030204" pitchFamily="18" charset="0"/>
                        </a:rPr>
                        <m:t>)</m:t>
                      </m:r>
                    </m:den>
                  </m:f>
                </m:oMath>
              </a14:m>
              <a:endParaRPr lang="es-ES" sz="1100" baseline="0"/>
            </a:p>
            <a:p>
              <a:endParaRPr lang="es-ES" sz="1100" baseline="0"/>
            </a:p>
            <a:p>
              <a:endParaRPr lang="es-ES" sz="1100"/>
            </a:p>
          </xdr:txBody>
        </xdr:sp>
      </mc:Choice>
      <mc:Fallback xmlns="">
        <xdr:sp macro="" textlink="">
          <xdr:nvSpPr>
            <xdr:cNvPr id="6" name="CuadroTexto 5">
              <a:extLst>
                <a:ext uri="{FF2B5EF4-FFF2-40B4-BE49-F238E27FC236}">
                  <a16:creationId xmlns:a16="http://schemas.microsoft.com/office/drawing/2014/main" id="{8DF3E5BC-2516-4CB2-821B-A434CDACED23}"/>
                </a:ext>
              </a:extLst>
            </xdr:cNvPr>
            <xdr:cNvSpPr txBox="1"/>
          </xdr:nvSpPr>
          <xdr:spPr>
            <a:xfrm>
              <a:off x="3337034" y="7140466"/>
              <a:ext cx="3816569" cy="1241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E es el suceso de tirar dos veces la misma moneda. Eso significa</a:t>
              </a:r>
              <a:r>
                <a:rPr lang="es-ES" sz="1100" baseline="0"/>
                <a:t> dos caras con esa moneda. Es decir la probabilidad total de que la primera tirada haya sido cara</a:t>
              </a:r>
            </a:p>
            <a:p>
              <a:r>
                <a:rPr lang="es-ES" sz="1100" baseline="0"/>
                <a:t>Sabiendo eso tenemos que obtener la probabilidad condicionada de que sea la moneda 3, esa que se lanza dos veces </a:t>
              </a:r>
              <a:r>
                <a:rPr lang="es-ES" sz="1100" b="0" i="0" baseline="0">
                  <a:latin typeface="Cambria Math" panose="02040503050406030204" pitchFamily="18" charset="0"/>
                </a:rPr>
                <a:t>𝑃(𝐴_3│𝐸)=(𝑃(𝐴_3 𝐸))/(𝑃(𝐸))</a:t>
              </a:r>
              <a:endParaRPr lang="es-ES" sz="1100" baseline="0"/>
            </a:p>
            <a:p>
              <a:endParaRPr lang="es-ES" sz="1100" baseline="0"/>
            </a:p>
            <a:p>
              <a:endParaRPr lang="es-ES"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755475</xdr:colOff>
      <xdr:row>7</xdr:row>
      <xdr:rowOff>95250</xdr:rowOff>
    </xdr:to>
    <xdr:sp macro="" textlink="">
      <xdr:nvSpPr>
        <xdr:cNvPr id="2" name="CuadroTexto 1">
          <a:extLst>
            <a:ext uri="{FF2B5EF4-FFF2-40B4-BE49-F238E27FC236}">
              <a16:creationId xmlns:a16="http://schemas.microsoft.com/office/drawing/2014/main" id="{1AAB50F7-470C-49C6-B376-E3542F30E8B7}"/>
            </a:ext>
          </a:extLst>
        </xdr:cNvPr>
        <xdr:cNvSpPr txBox="1"/>
      </xdr:nvSpPr>
      <xdr:spPr>
        <a:xfrm>
          <a:off x="0" y="1"/>
          <a:ext cx="9057264" cy="1428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400" b="1">
              <a:solidFill>
                <a:schemeClr val="dk1"/>
              </a:solidFill>
              <a:effectLst/>
              <a:latin typeface="+mn-lt"/>
              <a:ea typeface="+mn-ea"/>
              <a:cs typeface="+mn-cs"/>
            </a:rPr>
            <a:t>3-6.</a:t>
          </a:r>
          <a:r>
            <a:rPr lang="es-ES" sz="1400">
              <a:solidFill>
                <a:schemeClr val="dk1"/>
              </a:solidFill>
              <a:effectLst/>
              <a:latin typeface="+mn-lt"/>
              <a:ea typeface="+mn-ea"/>
              <a:cs typeface="+mn-cs"/>
            </a:rPr>
            <a:t> Se tienen tres urnas con la siguiente composición de bolas blancas, B, negras, N y rojas, R.</a:t>
          </a:r>
          <a:r>
            <a:rPr lang="es-ES" sz="1400" baseline="0">
              <a:solidFill>
                <a:schemeClr val="dk1"/>
              </a:solidFill>
              <a:effectLst/>
              <a:latin typeface="+mn-lt"/>
              <a:ea typeface="+mn-ea"/>
              <a:cs typeface="+mn-cs"/>
            </a:rPr>
            <a:t> (Tabla adjunta)</a:t>
          </a:r>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Se elige una urna al azar y se toma una bola. Calcular:</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 Probabilidad de que sea roja.</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Ha resultado ser blanca. Probabilidad de que proceda de la segunda o tercera urna.</a:t>
          </a:r>
          <a:endParaRPr lang="es-ES" sz="1400" u="none" strike="noStrike">
            <a:solidFill>
              <a:schemeClr val="dk1"/>
            </a:solidFill>
            <a:effectLst/>
            <a:latin typeface="+mn-lt"/>
            <a:ea typeface="+mn-ea"/>
            <a:cs typeface="+mn-cs"/>
          </a:endParaRPr>
        </a:p>
        <a:p>
          <a:endParaRPr lang="es-ES" sz="1100" kern="1200"/>
        </a:p>
      </xdr:txBody>
    </xdr:sp>
    <xdr:clientData/>
  </xdr:twoCellAnchor>
  <xdr:oneCellAnchor>
    <xdr:from>
      <xdr:col>4</xdr:col>
      <xdr:colOff>140368</xdr:colOff>
      <xdr:row>15</xdr:row>
      <xdr:rowOff>140369</xdr:rowOff>
    </xdr:from>
    <xdr:ext cx="1704889" cy="475900"/>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7F9536B-495B-4215-804D-5970AE2543A6}"/>
                </a:ext>
              </a:extLst>
            </xdr:cNvPr>
            <xdr:cNvSpPr txBox="1"/>
          </xdr:nvSpPr>
          <xdr:spPr>
            <a:xfrm>
              <a:off x="3108157" y="3454066"/>
              <a:ext cx="170488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d>
                      <m:dPr>
                        <m:ctrlPr>
                          <a:rPr lang="es-ES" sz="1100" b="0" i="1">
                            <a:latin typeface="Cambria Math" panose="02040503050406030204" pitchFamily="18" charset="0"/>
                          </a:rPr>
                        </m:ctrlPr>
                      </m:dPr>
                      <m:e>
                        <m:r>
                          <a:rPr lang="es-ES" sz="1100" b="0" i="1">
                            <a:latin typeface="Cambria Math" panose="02040503050406030204" pitchFamily="18" charset="0"/>
                          </a:rPr>
                          <m:t>𝐵</m:t>
                        </m:r>
                      </m:e>
                    </m:d>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r>
                          <a:rPr lang="es-ES" sz="1100" b="0" i="1">
                            <a:latin typeface="Cambria Math" panose="02040503050406030204" pitchFamily="18" charset="0"/>
                          </a:rPr>
                          <m:t>=1</m:t>
                        </m:r>
                      </m:sub>
                      <m:sup>
                        <m:r>
                          <a:rPr lang="es-ES" sz="1100" b="0" i="1">
                            <a:latin typeface="Cambria Math" panose="02040503050406030204" pitchFamily="18" charset="0"/>
                          </a:rPr>
                          <m:t>3</m:t>
                        </m:r>
                      </m:sup>
                      <m:e>
                        <m:r>
                          <a:rPr lang="es-ES" sz="1100" b="0" i="1">
                            <a:latin typeface="Cambria Math" panose="02040503050406030204" pitchFamily="18" charset="0"/>
                          </a:rPr>
                          <m:t>𝑃</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𝐴</m:t>
                            </m:r>
                          </m:e>
                          <m:sub>
                            <m:r>
                              <a:rPr lang="es-ES" sz="1100" b="0" i="1">
                                <a:latin typeface="Cambria Math" panose="02040503050406030204" pitchFamily="18" charset="0"/>
                              </a:rPr>
                              <m:t>𝑖</m:t>
                            </m:r>
                          </m:sub>
                        </m:sSub>
                        <m:r>
                          <a:rPr lang="es-ES" sz="1100" b="0" i="1">
                            <a:latin typeface="Cambria Math" panose="02040503050406030204" pitchFamily="18" charset="0"/>
                          </a:rPr>
                          <m:t>)</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𝑃</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𝐵</m:t>
                        </m:r>
                        <m:r>
                          <a:rPr lang="es-ES" sz="1100" b="0" i="1">
                            <a:latin typeface="Cambria Math" panose="02040503050406030204" pitchFamily="18" charset="0"/>
                            <a:ea typeface="Cambria Math" panose="02040503050406030204" pitchFamily="18" charset="0"/>
                          </a:rPr>
                          <m:t>|</m:t>
                        </m:r>
                        <m:sSub>
                          <m:sSubPr>
                            <m:ctrlPr>
                              <a:rPr lang="es-ES" sz="1100" b="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𝐴</m:t>
                            </m:r>
                          </m:e>
                          <m:sub>
                            <m:r>
                              <a:rPr lang="es-ES" sz="1100" b="0" i="1">
                                <a:latin typeface="Cambria Math" panose="02040503050406030204" pitchFamily="18" charset="0"/>
                                <a:ea typeface="Cambria Math" panose="02040503050406030204" pitchFamily="18" charset="0"/>
                              </a:rPr>
                              <m:t>𝑖</m:t>
                            </m:r>
                          </m:sub>
                        </m:sSub>
                        <m:r>
                          <a:rPr lang="es-ES" sz="1100" b="0" i="1">
                            <a:latin typeface="Cambria Math" panose="02040503050406030204" pitchFamily="18" charset="0"/>
                            <a:ea typeface="Cambria Math" panose="02040503050406030204" pitchFamily="18" charset="0"/>
                          </a:rPr>
                          <m:t>)</m:t>
                        </m:r>
                      </m:e>
                    </m:nary>
                  </m:oMath>
                </m:oMathPara>
              </a14:m>
              <a:endParaRPr lang="es-ES" sz="1100"/>
            </a:p>
          </xdr:txBody>
        </xdr:sp>
      </mc:Choice>
      <mc:Fallback xmlns="">
        <xdr:sp macro="" textlink="">
          <xdr:nvSpPr>
            <xdr:cNvPr id="3" name="CuadroTexto 2">
              <a:extLst>
                <a:ext uri="{FF2B5EF4-FFF2-40B4-BE49-F238E27FC236}">
                  <a16:creationId xmlns:a16="http://schemas.microsoft.com/office/drawing/2014/main" id="{07F9536B-495B-4215-804D-5970AE2543A6}"/>
                </a:ext>
              </a:extLst>
            </xdr:cNvPr>
            <xdr:cNvSpPr txBox="1"/>
          </xdr:nvSpPr>
          <xdr:spPr>
            <a:xfrm>
              <a:off x="3108157" y="3454066"/>
              <a:ext cx="170488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𝑃(𝐵)=∑24_(𝑖=1)^3▒〖𝑃(𝐴_𝑖)</a:t>
              </a:r>
              <a:r>
                <a:rPr lang="es-ES" sz="1100" b="0" i="0">
                  <a:latin typeface="Cambria Math" panose="02040503050406030204" pitchFamily="18" charset="0"/>
                  <a:ea typeface="Cambria Math" panose="02040503050406030204" pitchFamily="18" charset="0"/>
                </a:rPr>
                <a:t>×𝑃(𝐵|𝐴_𝑖)〗</a:t>
              </a:r>
              <a:endParaRPr lang="es-ES" sz="1100"/>
            </a:p>
          </xdr:txBody>
        </xdr:sp>
      </mc:Fallback>
    </mc:AlternateContent>
    <xdr:clientData/>
  </xdr:oneCellAnchor>
  <xdr:twoCellAnchor editAs="oneCell">
    <xdr:from>
      <xdr:col>4</xdr:col>
      <xdr:colOff>200527</xdr:colOff>
      <xdr:row>21</xdr:row>
      <xdr:rowOff>19222</xdr:rowOff>
    </xdr:from>
    <xdr:to>
      <xdr:col>7</xdr:col>
      <xdr:colOff>295777</xdr:colOff>
      <xdr:row>22</xdr:row>
      <xdr:rowOff>36843</xdr:rowOff>
    </xdr:to>
    <xdr:pic>
      <xdr:nvPicPr>
        <xdr:cNvPr id="4" name="Imagen 3">
          <a:extLst>
            <a:ext uri="{FF2B5EF4-FFF2-40B4-BE49-F238E27FC236}">
              <a16:creationId xmlns:a16="http://schemas.microsoft.com/office/drawing/2014/main" id="{93877E7B-1C9B-1840-459A-A943E569511D}"/>
            </a:ext>
          </a:extLst>
        </xdr:cNvPr>
        <xdr:cNvPicPr>
          <a:picLocks noChangeAspect="1"/>
        </xdr:cNvPicPr>
      </xdr:nvPicPr>
      <xdr:blipFill>
        <a:blip xmlns:r="http://schemas.openxmlformats.org/officeDocument/2006/relationships" r:embed="rId1"/>
        <a:stretch>
          <a:fillRect/>
        </a:stretch>
      </xdr:blipFill>
      <xdr:spPr>
        <a:xfrm>
          <a:off x="3168316" y="4957183"/>
          <a:ext cx="2381250" cy="283318"/>
        </a:xfrm>
        <a:prstGeom prst="rect">
          <a:avLst/>
        </a:prstGeom>
      </xdr:spPr>
    </xdr:pic>
    <xdr:clientData/>
  </xdr:twoCellAnchor>
  <xdr:twoCellAnchor editAs="oneCell">
    <xdr:from>
      <xdr:col>5</xdr:col>
      <xdr:colOff>150394</xdr:colOff>
      <xdr:row>22</xdr:row>
      <xdr:rowOff>49349</xdr:rowOff>
    </xdr:from>
    <xdr:to>
      <xdr:col>6</xdr:col>
      <xdr:colOff>606277</xdr:colOff>
      <xdr:row>23</xdr:row>
      <xdr:rowOff>45117</xdr:rowOff>
    </xdr:to>
    <xdr:pic>
      <xdr:nvPicPr>
        <xdr:cNvPr id="5" name="Imagen 4">
          <a:extLst>
            <a:ext uri="{FF2B5EF4-FFF2-40B4-BE49-F238E27FC236}">
              <a16:creationId xmlns:a16="http://schemas.microsoft.com/office/drawing/2014/main" id="{FA1F9F26-C2FF-B2C8-7D7D-C3526D6CB76C}"/>
            </a:ext>
          </a:extLst>
        </xdr:cNvPr>
        <xdr:cNvPicPr>
          <a:picLocks noChangeAspect="1"/>
        </xdr:cNvPicPr>
      </xdr:nvPicPr>
      <xdr:blipFill>
        <a:blip xmlns:r="http://schemas.openxmlformats.org/officeDocument/2006/relationships" r:embed="rId2"/>
        <a:stretch>
          <a:fillRect/>
        </a:stretch>
      </xdr:blipFill>
      <xdr:spPr>
        <a:xfrm>
          <a:off x="3880183" y="5253007"/>
          <a:ext cx="1217883" cy="301571"/>
        </a:xfrm>
        <a:prstGeom prst="rect">
          <a:avLst/>
        </a:prstGeom>
      </xdr:spPr>
    </xdr:pic>
    <xdr:clientData/>
  </xdr:twoCellAnchor>
  <xdr:twoCellAnchor editAs="oneCell">
    <xdr:from>
      <xdr:col>4</xdr:col>
      <xdr:colOff>355934</xdr:colOff>
      <xdr:row>23</xdr:row>
      <xdr:rowOff>150394</xdr:rowOff>
    </xdr:from>
    <xdr:to>
      <xdr:col>7</xdr:col>
      <xdr:colOff>553934</xdr:colOff>
      <xdr:row>25</xdr:row>
      <xdr:rowOff>166756</xdr:rowOff>
    </xdr:to>
    <xdr:pic>
      <xdr:nvPicPr>
        <xdr:cNvPr id="6" name="Imagen 5">
          <a:extLst>
            <a:ext uri="{FF2B5EF4-FFF2-40B4-BE49-F238E27FC236}">
              <a16:creationId xmlns:a16="http://schemas.microsoft.com/office/drawing/2014/main" id="{310FC6BF-0861-D70C-3149-6391236A7527}"/>
            </a:ext>
          </a:extLst>
        </xdr:cNvPr>
        <xdr:cNvPicPr>
          <a:picLocks noChangeAspect="1"/>
        </xdr:cNvPicPr>
      </xdr:nvPicPr>
      <xdr:blipFill>
        <a:blip xmlns:r="http://schemas.openxmlformats.org/officeDocument/2006/relationships" r:embed="rId3"/>
        <a:stretch>
          <a:fillRect/>
        </a:stretch>
      </xdr:blipFill>
      <xdr:spPr>
        <a:xfrm>
          <a:off x="3323723" y="5659855"/>
          <a:ext cx="2484000" cy="5126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752935</xdr:colOff>
      <xdr:row>5</xdr:row>
      <xdr:rowOff>57807</xdr:rowOff>
    </xdr:to>
    <xdr:sp macro="" textlink="">
      <xdr:nvSpPr>
        <xdr:cNvPr id="2" name="CuadroTexto 1">
          <a:extLst>
            <a:ext uri="{FF2B5EF4-FFF2-40B4-BE49-F238E27FC236}">
              <a16:creationId xmlns:a16="http://schemas.microsoft.com/office/drawing/2014/main" id="{BA9E7F64-0A2B-4CFC-8D8F-3B234741F916}"/>
            </a:ext>
          </a:extLst>
        </xdr:cNvPr>
        <xdr:cNvSpPr txBox="1"/>
      </xdr:nvSpPr>
      <xdr:spPr>
        <a:xfrm>
          <a:off x="0" y="0"/>
          <a:ext cx="9134935" cy="1003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3-4.</a:t>
          </a:r>
          <a:r>
            <a:rPr lang="es-ES" sz="1400">
              <a:solidFill>
                <a:schemeClr val="dk1"/>
              </a:solidFill>
              <a:effectLst/>
              <a:latin typeface="+mn-lt"/>
              <a:ea typeface="+mn-ea"/>
              <a:cs typeface="+mn-cs"/>
            </a:rPr>
            <a:t> Un padre dice a su hijo: aumentaré el dinero que te doy si ganas dos partidos de tenis consecutivos de los tres que juegues contra mí y tu madre, cambiando de adversario cada partido. Si el padre es mejor jugador que la madre, ¿contra quién debe jugar primero? Explique el resultado obtenido.</a:t>
          </a:r>
        </a:p>
        <a:p>
          <a:endParaRPr lang="es-E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37</xdr:col>
      <xdr:colOff>804042</xdr:colOff>
      <xdr:row>14</xdr:row>
      <xdr:rowOff>21657</xdr:rowOff>
    </xdr:to>
    <xdr:sp macro="" textlink="">
      <xdr:nvSpPr>
        <xdr:cNvPr id="2" name="CuadroTexto 1">
          <a:extLst>
            <a:ext uri="{FF2B5EF4-FFF2-40B4-BE49-F238E27FC236}">
              <a16:creationId xmlns:a16="http://schemas.microsoft.com/office/drawing/2014/main" id="{A1DA8D4D-D716-4093-92A9-483D83E19230}"/>
            </a:ext>
          </a:extLst>
        </xdr:cNvPr>
        <xdr:cNvSpPr txBox="1"/>
      </xdr:nvSpPr>
      <xdr:spPr>
        <a:xfrm>
          <a:off x="0" y="1"/>
          <a:ext cx="12733283" cy="2701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s-ES" sz="1600" b="1">
              <a:solidFill>
                <a:schemeClr val="dk1"/>
              </a:solidFill>
              <a:effectLst/>
              <a:latin typeface="+mn-lt"/>
              <a:ea typeface="+mn-ea"/>
              <a:cs typeface="+mn-cs"/>
            </a:rPr>
            <a:t>3-11.</a:t>
          </a:r>
          <a:r>
            <a:rPr lang="es-ES" sz="1600">
              <a:solidFill>
                <a:schemeClr val="dk1"/>
              </a:solidFill>
              <a:effectLst/>
              <a:latin typeface="+mn-lt"/>
              <a:ea typeface="+mn-ea"/>
              <a:cs typeface="+mn-cs"/>
            </a:rPr>
            <a:t> Los empleados de Conservas Rías Altas pertenecen a tres secciones: administrativa, enlatado y ventas. La siguiente tabla indica el número de empleados en cada división clasificados por sexo.</a:t>
          </a:r>
          <a:endParaRPr lang="es-ES" sz="1100" b="0" i="1" u="none" strike="noStrike">
            <a:solidFill>
              <a:schemeClr val="dk1"/>
            </a:solidFill>
            <a:effectLst/>
            <a:latin typeface="+mn-lt"/>
            <a:ea typeface="+mn-ea"/>
            <a:cs typeface="+mn-cs"/>
          </a:endParaRPr>
        </a:p>
        <a:p>
          <a:pPr lvl="0"/>
          <a:endParaRPr lang="es-ES" sz="1600">
            <a:solidFill>
              <a:schemeClr val="dk1"/>
            </a:solidFill>
            <a:effectLst/>
            <a:latin typeface="+mn-lt"/>
            <a:ea typeface="+mn-ea"/>
            <a:cs typeface="+mn-cs"/>
          </a:endParaRPr>
        </a:p>
        <a:p>
          <a:pPr lvl="0"/>
          <a:r>
            <a:rPr lang="es-ES_tradnl" sz="1600" u="none" strike="noStrike">
              <a:solidFill>
                <a:schemeClr val="dk1"/>
              </a:solidFill>
              <a:effectLst/>
              <a:latin typeface="+mn-lt"/>
              <a:ea typeface="+mn-ea"/>
              <a:cs typeface="+mn-cs"/>
            </a:rPr>
            <a:t>a)</a:t>
          </a:r>
          <a:r>
            <a:rPr lang="es-ES_tradnl" sz="1600" u="none" strike="noStrike" baseline="0">
              <a:solidFill>
                <a:schemeClr val="dk1"/>
              </a:solidFill>
              <a:effectLst/>
              <a:latin typeface="+mn-lt"/>
              <a:ea typeface="+mn-ea"/>
              <a:cs typeface="+mn-cs"/>
            </a:rPr>
            <a:t> </a:t>
          </a:r>
          <a:r>
            <a:rPr lang="es-ES_tradnl" sz="1600" u="none" strike="noStrike">
              <a:solidFill>
                <a:schemeClr val="dk1"/>
              </a:solidFill>
              <a:effectLst/>
              <a:latin typeface="+mn-lt"/>
              <a:ea typeface="+mn-ea"/>
              <a:cs typeface="+mn-cs"/>
            </a:rPr>
            <a:t>Se elige aleatoriamente un empleado:</a:t>
          </a:r>
          <a:endParaRPr lang="es-ES" sz="1600" u="none" strike="noStrike">
            <a:solidFill>
              <a:schemeClr val="dk1"/>
            </a:solidFill>
            <a:effectLst/>
            <a:latin typeface="+mn-lt"/>
            <a:ea typeface="+mn-ea"/>
            <a:cs typeface="+mn-cs"/>
          </a:endParaRPr>
        </a:p>
        <a:p>
          <a:r>
            <a:rPr lang="es-ES" sz="1600">
              <a:solidFill>
                <a:schemeClr val="dk1"/>
              </a:solidFill>
              <a:effectLst/>
              <a:latin typeface="+mn-lt"/>
              <a:ea typeface="+mn-ea"/>
              <a:cs typeface="+mn-cs"/>
            </a:rPr>
            <a:t> </a:t>
          </a:r>
        </a:p>
        <a:p>
          <a:pPr lvl="1"/>
          <a:r>
            <a:rPr lang="es-ES" sz="1600" u="none" strike="noStrike">
              <a:solidFill>
                <a:schemeClr val="dk1"/>
              </a:solidFill>
              <a:effectLst/>
              <a:latin typeface="+mn-lt"/>
              <a:ea typeface="+mn-ea"/>
              <a:cs typeface="+mn-cs"/>
            </a:rPr>
            <a:t>1) ¿Cuál es la probabilidad de que sea mujer?</a:t>
          </a:r>
        </a:p>
        <a:p>
          <a:pPr lvl="1"/>
          <a:r>
            <a:rPr lang="es-ES" sz="1600" u="none" strike="noStrike">
              <a:solidFill>
                <a:schemeClr val="dk1"/>
              </a:solidFill>
              <a:effectLst/>
              <a:latin typeface="+mn-lt"/>
              <a:ea typeface="+mn-ea"/>
              <a:cs typeface="+mn-cs"/>
            </a:rPr>
            <a:t>2) ¿Cuál es la probabilidad de que trabaje en ventas?</a:t>
          </a:r>
        </a:p>
        <a:p>
          <a:pPr lvl="1"/>
          <a:r>
            <a:rPr lang="es-ES" sz="1600" u="none" strike="noStrike">
              <a:solidFill>
                <a:schemeClr val="dk1"/>
              </a:solidFill>
              <a:effectLst/>
              <a:latin typeface="+mn-lt"/>
              <a:ea typeface="+mn-ea"/>
              <a:cs typeface="+mn-cs"/>
            </a:rPr>
            <a:t>3) ¿Cuál es la probabilidad de que sea hombre y trabaje en la sección administrativa?</a:t>
          </a:r>
        </a:p>
        <a:p>
          <a:pPr lvl="1"/>
          <a:r>
            <a:rPr lang="es-ES" sz="1600" u="none" strike="noStrike">
              <a:solidFill>
                <a:schemeClr val="dk1"/>
              </a:solidFill>
              <a:effectLst/>
              <a:latin typeface="+mn-lt"/>
              <a:ea typeface="+mn-ea"/>
              <a:cs typeface="+mn-cs"/>
            </a:rPr>
            <a:t>4) ¿Cuál es la probabilidad de que trabaje en la sección de enlatado, si es mujer?</a:t>
          </a:r>
        </a:p>
        <a:p>
          <a:pPr lvl="1"/>
          <a:r>
            <a:rPr lang="es-ES" sz="1600" u="none" strike="noStrike">
              <a:solidFill>
                <a:schemeClr val="dk1"/>
              </a:solidFill>
              <a:effectLst/>
              <a:latin typeface="+mn-lt"/>
              <a:ea typeface="+mn-ea"/>
              <a:cs typeface="+mn-cs"/>
            </a:rPr>
            <a:t>5) ¿Cuál es la probabilidad de que sea mujer si trabaja en la sección de enlatado?</a:t>
          </a:r>
        </a:p>
        <a:p>
          <a:r>
            <a:rPr lang="es-ES" sz="1600">
              <a:solidFill>
                <a:schemeClr val="dk1"/>
              </a:solidFill>
              <a:effectLst/>
              <a:latin typeface="+mn-lt"/>
              <a:ea typeface="+mn-ea"/>
              <a:cs typeface="+mn-cs"/>
            </a:rPr>
            <a:t>	</a:t>
          </a:r>
        </a:p>
        <a:p>
          <a:pPr lvl="0"/>
          <a:r>
            <a:rPr lang="es-ES_tradnl" sz="1600" u="none" strike="noStrike">
              <a:solidFill>
                <a:schemeClr val="dk1"/>
              </a:solidFill>
              <a:effectLst/>
              <a:latin typeface="+mn-lt"/>
              <a:ea typeface="+mn-ea"/>
              <a:cs typeface="+mn-cs"/>
            </a:rPr>
            <a:t>b) ¿Son los sucesos V y H estadísticamente independientes? ¿Y los sucesos A y M?</a:t>
          </a:r>
          <a:endParaRPr lang="es-ES" sz="1600" u="none" strike="noStrike">
            <a:solidFill>
              <a:schemeClr val="dk1"/>
            </a:solidFill>
            <a:effectLst/>
            <a:latin typeface="+mn-lt"/>
            <a:ea typeface="+mn-ea"/>
            <a:cs typeface="+mn-cs"/>
          </a:endParaRPr>
        </a:p>
        <a:p>
          <a:pPr lvl="0"/>
          <a:r>
            <a:rPr lang="es-ES_tradnl" sz="1600" u="none" strike="noStrike">
              <a:solidFill>
                <a:schemeClr val="dk1"/>
              </a:solidFill>
              <a:effectLst/>
              <a:latin typeface="+mn-lt"/>
              <a:ea typeface="+mn-ea"/>
              <a:cs typeface="+mn-cs"/>
            </a:rPr>
            <a:t>c) Calcular las siguientes probabilidades: P(A+M), P(A+ ), P(E</a:t>
          </a:r>
          <a:r>
            <a:rPr lang="es-ES_tradnl" sz="1600" u="none" strike="noStrike">
              <a:solidFill>
                <a:schemeClr val="dk1"/>
              </a:solidFill>
              <a:effectLst/>
              <a:latin typeface="+mn-lt"/>
              <a:ea typeface="+mn-ea"/>
              <a:cs typeface="+mn-cs"/>
              <a:sym typeface="Symbol" panose="05050102010706020507" pitchFamily="18" charset="2"/>
            </a:rPr>
            <a:t></a:t>
          </a:r>
          <a:r>
            <a:rPr lang="es-ES_tradnl" sz="1600" u="none" strike="noStrike">
              <a:solidFill>
                <a:schemeClr val="dk1"/>
              </a:solidFill>
              <a:effectLst/>
              <a:latin typeface="+mn-lt"/>
              <a:ea typeface="+mn-ea"/>
              <a:cs typeface="+mn-cs"/>
            </a:rPr>
            <a:t>M), P(M</a:t>
          </a:r>
          <a:r>
            <a:rPr lang="es-ES_tradnl" sz="1600" u="none" strike="noStrike">
              <a:solidFill>
                <a:schemeClr val="dk1"/>
              </a:solidFill>
              <a:effectLst/>
              <a:latin typeface="+mn-lt"/>
              <a:ea typeface="+mn-ea"/>
              <a:cs typeface="+mn-cs"/>
              <a:sym typeface="Symbol" panose="05050102010706020507" pitchFamily="18" charset="2"/>
            </a:rPr>
            <a:t></a:t>
          </a:r>
          <a:r>
            <a:rPr lang="es-ES_tradnl" sz="1600" u="none" strike="noStrike">
              <a:solidFill>
                <a:schemeClr val="dk1"/>
              </a:solidFill>
              <a:effectLst/>
              <a:latin typeface="+mn-lt"/>
              <a:ea typeface="+mn-ea"/>
              <a:cs typeface="+mn-cs"/>
            </a:rPr>
            <a:t>A).</a:t>
          </a:r>
          <a:endParaRPr lang="es-ES" sz="1600" u="none" strike="noStrike">
            <a:solidFill>
              <a:schemeClr val="dk1"/>
            </a:solidFill>
            <a:effectLst/>
            <a:latin typeface="+mn-lt"/>
            <a:ea typeface="+mn-ea"/>
            <a:cs typeface="+mn-cs"/>
          </a:endParaRPr>
        </a:p>
        <a:p>
          <a:endParaRPr lang="es-ES" sz="1600">
            <a:solidFill>
              <a:schemeClr val="dk1"/>
            </a:solidFill>
            <a:effectLst/>
            <a:latin typeface="+mn-lt"/>
            <a:ea typeface="+mn-ea"/>
            <a:cs typeface="+mn-cs"/>
          </a:endParaRPr>
        </a:p>
        <a:p>
          <a:endParaRPr lang="es-ES" sz="1100" kern="1200"/>
        </a:p>
      </xdr:txBody>
    </xdr:sp>
    <xdr:clientData/>
  </xdr:twoCellAnchor>
  <xdr:oneCellAnchor>
    <xdr:from>
      <xdr:col>0</xdr:col>
      <xdr:colOff>23823</xdr:colOff>
      <xdr:row>40</xdr:row>
      <xdr:rowOff>47297</xdr:rowOff>
    </xdr:from>
    <xdr:ext cx="791755" cy="222818"/>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ACE7482C-32B6-2276-CF1B-7BA6A275B5E7}"/>
                </a:ext>
              </a:extLst>
            </xdr:cNvPr>
            <xdr:cNvSpPr txBox="1"/>
          </xdr:nvSpPr>
          <xdr:spPr>
            <a:xfrm>
              <a:off x="23823" y="10573407"/>
              <a:ext cx="791755" cy="222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b="0" i="1" kern="1200">
                        <a:solidFill>
                          <a:schemeClr val="bg1"/>
                        </a:solidFill>
                        <a:latin typeface="Cambria Math" panose="02040503050406030204" pitchFamily="18" charset="0"/>
                      </a:rPr>
                      <m:t>𝑃</m:t>
                    </m:r>
                    <m:r>
                      <a:rPr lang="es-ES" sz="1400" b="0" i="1" kern="1200">
                        <a:solidFill>
                          <a:schemeClr val="bg1"/>
                        </a:solidFill>
                        <a:latin typeface="Cambria Math" panose="02040503050406030204" pitchFamily="18" charset="0"/>
                      </a:rPr>
                      <m:t>(</m:t>
                    </m:r>
                    <m:r>
                      <a:rPr lang="es-ES" sz="1400" b="0" i="1" kern="1200">
                        <a:solidFill>
                          <a:schemeClr val="bg1"/>
                        </a:solidFill>
                        <a:latin typeface="Cambria Math" panose="02040503050406030204" pitchFamily="18" charset="0"/>
                      </a:rPr>
                      <m:t>𝐴</m:t>
                    </m:r>
                    <m:r>
                      <a:rPr lang="es-ES" sz="1400" b="0" i="1" kern="1200">
                        <a:solidFill>
                          <a:schemeClr val="bg1"/>
                        </a:solidFill>
                        <a:latin typeface="Cambria Math" panose="02040503050406030204" pitchFamily="18" charset="0"/>
                      </a:rPr>
                      <m:t>+</m:t>
                    </m:r>
                    <m:acc>
                      <m:accPr>
                        <m:chr m:val="̅"/>
                        <m:ctrlPr>
                          <a:rPr lang="es-ES" sz="1400" b="0" i="1" kern="1200">
                            <a:solidFill>
                              <a:schemeClr val="bg1"/>
                            </a:solidFill>
                            <a:latin typeface="Cambria Math" panose="02040503050406030204" pitchFamily="18" charset="0"/>
                          </a:rPr>
                        </m:ctrlPr>
                      </m:accPr>
                      <m:e>
                        <m:r>
                          <a:rPr lang="es-ES" sz="1400" b="0" i="1" kern="1200">
                            <a:solidFill>
                              <a:schemeClr val="bg1"/>
                            </a:solidFill>
                            <a:latin typeface="Cambria Math" panose="02040503050406030204" pitchFamily="18" charset="0"/>
                          </a:rPr>
                          <m:t>𝑀</m:t>
                        </m:r>
                      </m:e>
                    </m:acc>
                    <m:r>
                      <a:rPr lang="es-ES" sz="1400" b="0" i="1" kern="1200">
                        <a:solidFill>
                          <a:schemeClr val="bg1"/>
                        </a:solidFill>
                        <a:latin typeface="Cambria Math" panose="02040503050406030204" pitchFamily="18" charset="0"/>
                      </a:rPr>
                      <m:t>)</m:t>
                    </m:r>
                  </m:oMath>
                </m:oMathPara>
              </a14:m>
              <a:endParaRPr lang="es-ES" sz="1400" kern="1200">
                <a:solidFill>
                  <a:schemeClr val="bg1"/>
                </a:solidFill>
                <a:latin typeface="+mn-lt"/>
              </a:endParaRPr>
            </a:p>
          </xdr:txBody>
        </xdr:sp>
      </mc:Choice>
      <mc:Fallback xmlns="">
        <xdr:sp macro="" textlink="">
          <xdr:nvSpPr>
            <xdr:cNvPr id="3" name="CuadroTexto 2">
              <a:extLst>
                <a:ext uri="{FF2B5EF4-FFF2-40B4-BE49-F238E27FC236}">
                  <a16:creationId xmlns:a16="http://schemas.microsoft.com/office/drawing/2014/main" id="{ACE7482C-32B6-2276-CF1B-7BA6A275B5E7}"/>
                </a:ext>
              </a:extLst>
            </xdr:cNvPr>
            <xdr:cNvSpPr txBox="1"/>
          </xdr:nvSpPr>
          <xdr:spPr>
            <a:xfrm>
              <a:off x="23823" y="10573407"/>
              <a:ext cx="791755" cy="222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400" b="0" i="0" kern="1200">
                  <a:solidFill>
                    <a:schemeClr val="bg1"/>
                  </a:solidFill>
                  <a:latin typeface="+mn-lt"/>
                </a:rPr>
                <a:t>𝑃(𝐴+𝑀 ̅</a:t>
              </a:r>
              <a:r>
                <a:rPr lang="es-ES" sz="1400" b="0" i="0" kern="1200">
                  <a:solidFill>
                    <a:schemeClr val="bg1"/>
                  </a:solidFill>
                  <a:latin typeface="Cambria Math" panose="02040503050406030204" pitchFamily="18" charset="0"/>
                </a:rPr>
                <a:t>)</a:t>
              </a:r>
              <a:endParaRPr lang="es-ES" sz="1400" kern="1200">
                <a:solidFill>
                  <a:schemeClr val="bg1"/>
                </a:solidFill>
                <a:latin typeface="+mn-lt"/>
              </a:endParaRPr>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11</xdr:col>
      <xdr:colOff>745932</xdr:colOff>
      <xdr:row>28</xdr:row>
      <xdr:rowOff>133350</xdr:rowOff>
    </xdr:to>
    <xdr:sp macro="" textlink="">
      <xdr:nvSpPr>
        <xdr:cNvPr id="2" name="CuadroTexto 1">
          <a:extLst>
            <a:ext uri="{FF2B5EF4-FFF2-40B4-BE49-F238E27FC236}">
              <a16:creationId xmlns:a16="http://schemas.microsoft.com/office/drawing/2014/main" id="{B3FE657F-8AA9-4D3D-B725-F346AD018271}"/>
            </a:ext>
          </a:extLst>
        </xdr:cNvPr>
        <xdr:cNvSpPr txBox="1"/>
      </xdr:nvSpPr>
      <xdr:spPr>
        <a:xfrm>
          <a:off x="1" y="0"/>
          <a:ext cx="9127931" cy="546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3-18.</a:t>
          </a:r>
          <a:r>
            <a:rPr lang="es-ES" sz="1400">
              <a:solidFill>
                <a:schemeClr val="dk1"/>
              </a:solidFill>
              <a:effectLst/>
              <a:latin typeface="+mn-lt"/>
              <a:ea typeface="+mn-ea"/>
              <a:cs typeface="+mn-cs"/>
            </a:rPr>
            <a:t> Un dispositivo electrónico está formado por tres componentes en serie, cada uno de los cuales tiene una probabilidad de fallo de 0.01. Su representación, en la que cada componente se corresponde con uno de los rectángulos, es:</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 </a:t>
          </a:r>
        </a:p>
        <a:p>
          <a:endParaRPr lang="es-ES" sz="1400">
            <a:solidFill>
              <a:schemeClr val="dk1"/>
            </a:solidFill>
            <a:effectLst/>
            <a:latin typeface="+mn-lt"/>
            <a:ea typeface="+mn-ea"/>
            <a:cs typeface="+mn-cs"/>
          </a:endParaRPr>
        </a:p>
        <a:p>
          <a:pPr lvl="0"/>
          <a:r>
            <a:rPr lang="es-ES" sz="1400">
              <a:solidFill>
                <a:schemeClr val="dk1"/>
              </a:solidFill>
              <a:effectLst/>
              <a:latin typeface="+mn-lt"/>
              <a:ea typeface="+mn-ea"/>
              <a:cs typeface="+mn-cs"/>
            </a:rPr>
            <a:t>a) ¿Cuál es la probabilidad de fallo del dispositivo?</a:t>
          </a:r>
        </a:p>
        <a:p>
          <a:pPr lvl="0"/>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Por motivos económicos se ha cambiado el proveedor de los componentes. Los nuevos componentes recibidos son de peor calidad y tienen una probabilidad de fallo de 0.05. Para contrarrestar el efecto de calidad, se ha pensado en dos nuevos diseños del anterior dispositivo:</a:t>
          </a:r>
        </a:p>
        <a:p>
          <a:endParaRPr lang="es-ES" sz="1400">
            <a:solidFill>
              <a:schemeClr val="dk1"/>
            </a:solidFill>
            <a:effectLst/>
            <a:latin typeface="+mn-lt"/>
            <a:ea typeface="+mn-ea"/>
            <a:cs typeface="+mn-cs"/>
          </a:endParaRPr>
        </a:p>
        <a:p>
          <a:endParaRPr lang="es-ES" sz="1400">
            <a:solidFill>
              <a:schemeClr val="dk1"/>
            </a:solidFill>
            <a:effectLst/>
            <a:latin typeface="+mn-lt"/>
            <a:ea typeface="+mn-ea"/>
            <a:cs typeface="+mn-cs"/>
          </a:endParaRP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 </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b) Calcular la probabilidad de fallo del diseño B.</a:t>
          </a:r>
        </a:p>
        <a:p>
          <a:pPr lvl="0"/>
          <a:r>
            <a:rPr lang="es-ES" sz="1400">
              <a:solidFill>
                <a:schemeClr val="dk1"/>
              </a:solidFill>
              <a:effectLst/>
              <a:latin typeface="+mn-lt"/>
              <a:ea typeface="+mn-ea"/>
              <a:cs typeface="+mn-cs"/>
            </a:rPr>
            <a:t>c) Calcular la probabilidad de fallo del diseño C.</a:t>
          </a:r>
        </a:p>
        <a:p>
          <a:pPr lvl="0"/>
          <a:r>
            <a:rPr lang="es-ES" sz="1400" u="none" strike="noStrike">
              <a:solidFill>
                <a:schemeClr val="dk1"/>
              </a:solidFill>
              <a:effectLst/>
              <a:latin typeface="+mn-lt"/>
              <a:ea typeface="+mn-ea"/>
              <a:cs typeface="+mn-cs"/>
            </a:rPr>
            <a:t>d) Suponiendo que el precio de los componentes del nuevo proveedor tienen un precio inferior a la mitad del precio del anterior proveedor, ¿cuál de los diseños elegiría? ¿Por qué?</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Nota: todos los componentes pueden suponerse independientes.</a:t>
          </a:r>
        </a:p>
        <a:p>
          <a:endParaRPr lang="es-ES" sz="1600">
            <a:solidFill>
              <a:schemeClr val="dk1"/>
            </a:solidFill>
            <a:effectLst/>
            <a:latin typeface="+mn-lt"/>
            <a:ea typeface="+mn-ea"/>
            <a:cs typeface="+mn-cs"/>
          </a:endParaRPr>
        </a:p>
        <a:p>
          <a:endParaRPr lang="es-ES" sz="1100" kern="1200"/>
        </a:p>
      </xdr:txBody>
    </xdr:sp>
    <xdr:clientData/>
  </xdr:twoCellAnchor>
  <xdr:twoCellAnchor editAs="oneCell">
    <xdr:from>
      <xdr:col>0</xdr:col>
      <xdr:colOff>381001</xdr:colOff>
      <xdr:row>3</xdr:row>
      <xdr:rowOff>114300</xdr:rowOff>
    </xdr:from>
    <xdr:to>
      <xdr:col>1</xdr:col>
      <xdr:colOff>920433</xdr:colOff>
      <xdr:row>4</xdr:row>
      <xdr:rowOff>146050</xdr:rowOff>
    </xdr:to>
    <xdr:pic>
      <xdr:nvPicPr>
        <xdr:cNvPr id="3" name="Imagen 2">
          <a:extLst>
            <a:ext uri="{FF2B5EF4-FFF2-40B4-BE49-F238E27FC236}">
              <a16:creationId xmlns:a16="http://schemas.microsoft.com/office/drawing/2014/main" id="{C81FDD85-CA6B-EA38-6232-E8FDDAC29A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1" y="685800"/>
          <a:ext cx="3535680" cy="220980"/>
        </a:xfrm>
        <a:prstGeom prst="rect">
          <a:avLst/>
        </a:prstGeom>
        <a:noFill/>
        <a:ln>
          <a:noFill/>
        </a:ln>
      </xdr:spPr>
    </xdr:pic>
    <xdr:clientData/>
  </xdr:twoCellAnchor>
  <xdr:twoCellAnchor editAs="oneCell">
    <xdr:from>
      <xdr:col>0</xdr:col>
      <xdr:colOff>247651</xdr:colOff>
      <xdr:row>12</xdr:row>
      <xdr:rowOff>95250</xdr:rowOff>
    </xdr:from>
    <xdr:to>
      <xdr:col>3</xdr:col>
      <xdr:colOff>882333</xdr:colOff>
      <xdr:row>18</xdr:row>
      <xdr:rowOff>6350</xdr:rowOff>
    </xdr:to>
    <xdr:pic>
      <xdr:nvPicPr>
        <xdr:cNvPr id="4" name="Imagen 3">
          <a:extLst>
            <a:ext uri="{FF2B5EF4-FFF2-40B4-BE49-F238E27FC236}">
              <a16:creationId xmlns:a16="http://schemas.microsoft.com/office/drawing/2014/main" id="{30226B06-BB3D-CDF3-DE31-D5B18C111B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381250"/>
          <a:ext cx="5761355" cy="1058545"/>
        </a:xfrm>
        <a:prstGeom prst="rect">
          <a:avLst/>
        </a:prstGeom>
        <a:noFill/>
        <a:ln>
          <a:noFill/>
        </a:ln>
      </xdr:spPr>
    </xdr:pic>
    <xdr:clientData/>
  </xdr:twoCellAnchor>
  <xdr:twoCellAnchor>
    <xdr:from>
      <xdr:col>0</xdr:col>
      <xdr:colOff>57150</xdr:colOff>
      <xdr:row>46</xdr:row>
      <xdr:rowOff>42863</xdr:rowOff>
    </xdr:from>
    <xdr:to>
      <xdr:col>6</xdr:col>
      <xdr:colOff>295275</xdr:colOff>
      <xdr:row>52</xdr:row>
      <xdr:rowOff>138113</xdr:rowOff>
    </xdr:to>
    <xdr:sp macro="" textlink="">
      <xdr:nvSpPr>
        <xdr:cNvPr id="5" name="CuadroTexto 4">
          <a:extLst>
            <a:ext uri="{FF2B5EF4-FFF2-40B4-BE49-F238E27FC236}">
              <a16:creationId xmlns:a16="http://schemas.microsoft.com/office/drawing/2014/main" id="{F6238471-F4D9-7C6E-EA37-5CA805AD5BC4}"/>
            </a:ext>
          </a:extLst>
        </xdr:cNvPr>
        <xdr:cNvSpPr txBox="1"/>
      </xdr:nvSpPr>
      <xdr:spPr>
        <a:xfrm>
          <a:off x="57150" y="9910763"/>
          <a:ext cx="7653338"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kern="1200"/>
            <a:t>El B que tiene</a:t>
          </a:r>
          <a:r>
            <a:rPr lang="es-ES" sz="1100" kern="1200" baseline="0"/>
            <a:t> menor probabilidad de fallo</a:t>
          </a:r>
          <a:endParaRPr lang="es-ES"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xdr:colOff>
      <xdr:row>0</xdr:row>
      <xdr:rowOff>1</xdr:rowOff>
    </xdr:from>
    <xdr:to>
      <xdr:col>11</xdr:col>
      <xdr:colOff>495301</xdr:colOff>
      <xdr:row>16</xdr:row>
      <xdr:rowOff>152401</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4816C43D-EA40-4375-8D63-D975432BBD28}"/>
                </a:ext>
              </a:extLst>
            </xdr:cNvPr>
            <xdr:cNvSpPr txBox="1"/>
          </xdr:nvSpPr>
          <xdr:spPr>
            <a:xfrm>
              <a:off x="2" y="1"/>
              <a:ext cx="11720512"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3-13.</a:t>
              </a:r>
              <a:r>
                <a:rPr lang="es-ES" sz="1400">
                  <a:solidFill>
                    <a:schemeClr val="dk1"/>
                  </a:solidFill>
                  <a:effectLst/>
                  <a:latin typeface="+mn-lt"/>
                  <a:ea typeface="+mn-ea"/>
                  <a:cs typeface="+mn-cs"/>
                </a:rPr>
                <a:t> A es un preso en espera de ser juzgado por un delito. Su abogado defensor ha tenido una entrevista con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de la que ha deducido que la probabilidad de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sea culpable es de 0.8. Hay dos testigos,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cada uno de los cuales conoce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o no.</a:t>
              </a:r>
            </a:p>
            <a:p>
              <a:r>
                <a:rPr lang="es-ES" sz="1400">
                  <a:solidFill>
                    <a:schemeClr val="dk1"/>
                  </a:solidFill>
                  <a:effectLst/>
                  <a:latin typeface="+mn-lt"/>
                  <a:ea typeface="+mn-ea"/>
                  <a:cs typeface="+mn-cs"/>
                </a:rPr>
                <a:t> </a:t>
              </a:r>
            </a:p>
            <a:p>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es amigo de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y dirá la verdad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inocente pero mentirá con probabilidad 0.2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no simpatiza con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y dirá la verdad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pero mentirá con probabilidad 0.3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inocente.</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Dado el anterior modelo de situación:</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Determinar la probabilidad de que los testigos den un testimonio contrapuesto.</a:t>
              </a:r>
            </a:p>
            <a:p>
              <a:pPr lvl="0"/>
              <a:r>
                <a:rPr lang="es-ES" sz="1400">
                  <a:solidFill>
                    <a:schemeClr val="dk1"/>
                  </a:solidFill>
                  <a:effectLst/>
                  <a:latin typeface="+mn-lt"/>
                  <a:ea typeface="+mn-ea"/>
                  <a:cs typeface="+mn-cs"/>
                </a:rPr>
                <a:t>b) ¿Cuál de los dos testigos tiene una probabilidad mayor de cometer perjurio?</a:t>
              </a:r>
            </a:p>
            <a:p>
              <a:pPr lvl="0"/>
              <a:r>
                <a:rPr lang="es-ES" sz="1400">
                  <a:solidFill>
                    <a:schemeClr val="dk1"/>
                  </a:solidFill>
                  <a:effectLst/>
                  <a:latin typeface="+mn-lt"/>
                  <a:ea typeface="+mn-ea"/>
                  <a:cs typeface="+mn-cs"/>
                </a:rPr>
                <a:t>c) ¿Cuál es la probabilidad condicionada de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sea inocente dado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dan un testimonio contrapuesto?</a:t>
              </a:r>
            </a:p>
            <a:p>
              <a:pPr lvl="0"/>
              <a:r>
                <a:rPr lang="es-ES" sz="1400">
                  <a:solidFill>
                    <a:schemeClr val="dk1"/>
                  </a:solidFill>
                  <a:effectLst/>
                  <a:latin typeface="+mn-lt"/>
                  <a:ea typeface="+mn-ea"/>
                  <a:cs typeface="+mn-cs"/>
                </a:rPr>
                <a:t>d) ¿Son los sucesos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r>
                    <a:rPr lang="es-ES" sz="1400" i="1">
                      <a:solidFill>
                        <a:schemeClr val="dk1"/>
                      </a:solidFill>
                      <a:effectLst/>
                      <a:latin typeface="Cambria Math" panose="02040503050406030204" pitchFamily="18" charset="0"/>
                      <a:ea typeface="+mn-ea"/>
                      <a:cs typeface="+mn-cs"/>
                    </a:rPr>
                    <m:t> </m:t>
                  </m:r>
                  <m:r>
                    <a:rPr lang="es-ES" sz="1400" i="1">
                      <a:solidFill>
                        <a:schemeClr val="dk1"/>
                      </a:solidFill>
                      <a:effectLst/>
                      <a:latin typeface="Cambria Math" panose="02040503050406030204" pitchFamily="18" charset="0"/>
                      <a:ea typeface="+mn-ea"/>
                      <a:cs typeface="+mn-cs"/>
                    </a:rPr>
                    <m:t>𝑚𝑖𝑒𝑛𝑡𝑒</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r>
                    <a:rPr lang="es-ES" sz="1400" i="1">
                      <a:solidFill>
                        <a:schemeClr val="dk1"/>
                      </a:solidFill>
                      <a:effectLst/>
                      <a:latin typeface="Cambria Math" panose="02040503050406030204" pitchFamily="18" charset="0"/>
                      <a:ea typeface="+mn-ea"/>
                      <a:cs typeface="+mn-cs"/>
                    </a:rPr>
                    <m:t> </m:t>
                  </m:r>
                  <m:r>
                    <a:rPr lang="es-ES" sz="1400" i="1">
                      <a:solidFill>
                        <a:schemeClr val="dk1"/>
                      </a:solidFill>
                      <a:effectLst/>
                      <a:latin typeface="Cambria Math" panose="02040503050406030204" pitchFamily="18" charset="0"/>
                      <a:ea typeface="+mn-ea"/>
                      <a:cs typeface="+mn-cs"/>
                    </a:rPr>
                    <m:t>𝑚𝑖𝑒𝑛𝑡𝑒</m:t>
                  </m:r>
                </m:oMath>
              </a14:m>
              <a:r>
                <a:rPr lang="es-ES" sz="1400">
                  <a:solidFill>
                    <a:schemeClr val="dk1"/>
                  </a:solidFill>
                  <a:effectLst/>
                  <a:latin typeface="+mn-lt"/>
                  <a:ea typeface="+mn-ea"/>
                  <a:cs typeface="+mn-cs"/>
                </a:rPr>
                <a:t>” independientes? ¿Son estos sucesos condicionalmente independientes para un observador que conoce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o no?</a:t>
              </a:r>
            </a:p>
            <a:p>
              <a:endParaRPr lang="es-ES" sz="16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4816C43D-EA40-4375-8D63-D975432BBD28}"/>
                </a:ext>
              </a:extLst>
            </xdr:cNvPr>
            <xdr:cNvSpPr txBox="1"/>
          </xdr:nvSpPr>
          <xdr:spPr>
            <a:xfrm>
              <a:off x="2" y="1"/>
              <a:ext cx="11720512"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3-13.</a:t>
              </a:r>
              <a:r>
                <a:rPr lang="es-ES" sz="1400">
                  <a:solidFill>
                    <a:schemeClr val="dk1"/>
                  </a:solidFill>
                  <a:effectLst/>
                  <a:latin typeface="+mn-lt"/>
                  <a:ea typeface="+mn-ea"/>
                  <a:cs typeface="+mn-cs"/>
                </a:rPr>
                <a:t> A es un preso en espera de ser juzgado por un delito. Su abogado defensor ha tenido una entrevista con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de la que ha deducido que la probabilidad de que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sea culpable es de 0.8. Hay dos testigos, </a:t>
              </a:r>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cada uno de los cuales conoce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o no.</a:t>
              </a:r>
            </a:p>
            <a:p>
              <a:r>
                <a:rPr lang="es-ES" sz="1400">
                  <a:solidFill>
                    <a:schemeClr val="dk1"/>
                  </a:solidFill>
                  <a:effectLst/>
                  <a:latin typeface="+mn-lt"/>
                  <a:ea typeface="+mn-ea"/>
                  <a:cs typeface="+mn-cs"/>
                </a:rPr>
                <a:t> </a:t>
              </a:r>
            </a:p>
            <a:p>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es amigo de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y dirá la verdad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inocente pero mentirá con probabilidad 0.2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no simpatiza con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y dirá la verdad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pero mentirá con probabilidad 0.3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inocente.</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Dado el anterior modelo de situación:</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Determinar la probabilidad de que los testigos den un testimonio contrapuesto.</a:t>
              </a:r>
            </a:p>
            <a:p>
              <a:pPr lvl="0"/>
              <a:r>
                <a:rPr lang="es-ES" sz="1400">
                  <a:solidFill>
                    <a:schemeClr val="dk1"/>
                  </a:solidFill>
                  <a:effectLst/>
                  <a:latin typeface="+mn-lt"/>
                  <a:ea typeface="+mn-ea"/>
                  <a:cs typeface="+mn-cs"/>
                </a:rPr>
                <a:t>b) ¿Cuál de los dos testigos tiene una probabilidad mayor de cometer perjurio?</a:t>
              </a:r>
            </a:p>
            <a:p>
              <a:pPr lvl="0"/>
              <a:r>
                <a:rPr lang="es-ES" sz="1400">
                  <a:solidFill>
                    <a:schemeClr val="dk1"/>
                  </a:solidFill>
                  <a:effectLst/>
                  <a:latin typeface="+mn-lt"/>
                  <a:ea typeface="+mn-ea"/>
                  <a:cs typeface="+mn-cs"/>
                </a:rPr>
                <a:t>c) ¿Cuál es la probabilidad condicionada de que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sea inocente dado que </a:t>
              </a:r>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dan un testimonio contrapuesto?</a:t>
              </a:r>
            </a:p>
            <a:p>
              <a:pPr lvl="0"/>
              <a:r>
                <a:rPr lang="es-ES" sz="1400">
                  <a:solidFill>
                    <a:schemeClr val="dk1"/>
                  </a:solidFill>
                  <a:effectLst/>
                  <a:latin typeface="+mn-lt"/>
                  <a:ea typeface="+mn-ea"/>
                  <a:cs typeface="+mn-cs"/>
                </a:rPr>
                <a:t>d) ¿Son los sucesos “</a:t>
              </a:r>
              <a:r>
                <a:rPr lang="es-ES" sz="1400" i="0">
                  <a:solidFill>
                    <a:schemeClr val="dk1"/>
                  </a:solidFill>
                  <a:effectLst/>
                  <a:latin typeface="+mn-lt"/>
                  <a:ea typeface="+mn-ea"/>
                  <a:cs typeface="+mn-cs"/>
                </a:rPr>
                <a:t>𝐵 𝑚𝑖𝑒𝑛𝑡𝑒</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 𝑚𝑖𝑒𝑛𝑡𝑒</a:t>
              </a:r>
              <a:r>
                <a:rPr lang="es-ES" sz="1400">
                  <a:solidFill>
                    <a:schemeClr val="dk1"/>
                  </a:solidFill>
                  <a:effectLst/>
                  <a:latin typeface="+mn-lt"/>
                  <a:ea typeface="+mn-ea"/>
                  <a:cs typeface="+mn-cs"/>
                </a:rPr>
                <a:t>” independientes? ¿Son estos sucesos condicionalmente independientes para un observador que conoce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o no?</a:t>
              </a:r>
            </a:p>
            <a:p>
              <a:endParaRPr lang="es-ES" sz="1600">
                <a:solidFill>
                  <a:schemeClr val="dk1"/>
                </a:solidFill>
                <a:effectLst/>
                <a:latin typeface="+mn-lt"/>
                <a:ea typeface="+mn-ea"/>
                <a:cs typeface="+mn-cs"/>
              </a:endParaRPr>
            </a:p>
            <a:p>
              <a:endParaRPr lang="es-ES" sz="1100" kern="1200"/>
            </a:p>
          </xdr:txBody>
        </xdr:sp>
      </mc:Fallback>
    </mc:AlternateContent>
    <xdr:clientData/>
  </xdr:twoCellAnchor>
  <xdr:oneCellAnchor>
    <xdr:from>
      <xdr:col>3</xdr:col>
      <xdr:colOff>408305</xdr:colOff>
      <xdr:row>41</xdr:row>
      <xdr:rowOff>19526</xdr:rowOff>
    </xdr:from>
    <xdr:ext cx="178318" cy="256289"/>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9FE171F1-73AC-5400-8176-F170A35E1BCE}"/>
                </a:ext>
              </a:extLst>
            </xdr:cNvPr>
            <xdr:cNvSpPr txBox="1"/>
          </xdr:nvSpPr>
          <xdr:spPr>
            <a:xfrm>
              <a:off x="4323080" y="8039576"/>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6" name="CuadroTexto 5">
              <a:extLst>
                <a:ext uri="{FF2B5EF4-FFF2-40B4-BE49-F238E27FC236}">
                  <a16:creationId xmlns:a16="http://schemas.microsoft.com/office/drawing/2014/main" id="{9FE171F1-73AC-5400-8176-F170A35E1BCE}"/>
                </a:ext>
              </a:extLst>
            </xdr:cNvPr>
            <xdr:cNvSpPr txBox="1"/>
          </xdr:nvSpPr>
          <xdr:spPr>
            <a:xfrm>
              <a:off x="4323080" y="8039576"/>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oneCellAnchor>
    <xdr:from>
      <xdr:col>3</xdr:col>
      <xdr:colOff>400685</xdr:colOff>
      <xdr:row>42</xdr:row>
      <xdr:rowOff>28098</xdr:rowOff>
    </xdr:from>
    <xdr:ext cx="178318" cy="256289"/>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2A8B81FF-1337-4921-8C7F-E6606E91883E}"/>
                </a:ext>
              </a:extLst>
            </xdr:cNvPr>
            <xdr:cNvSpPr txBox="1"/>
          </xdr:nvSpPr>
          <xdr:spPr>
            <a:xfrm>
              <a:off x="4315460" y="8314848"/>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7" name="CuadroTexto 6">
              <a:extLst>
                <a:ext uri="{FF2B5EF4-FFF2-40B4-BE49-F238E27FC236}">
                  <a16:creationId xmlns:a16="http://schemas.microsoft.com/office/drawing/2014/main" id="{2A8B81FF-1337-4921-8C7F-E6606E91883E}"/>
                </a:ext>
              </a:extLst>
            </xdr:cNvPr>
            <xdr:cNvSpPr txBox="1"/>
          </xdr:nvSpPr>
          <xdr:spPr>
            <a:xfrm>
              <a:off x="4315460" y="8314848"/>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oneCellAnchor>
    <xdr:from>
      <xdr:col>3</xdr:col>
      <xdr:colOff>533083</xdr:colOff>
      <xdr:row>43</xdr:row>
      <xdr:rowOff>25241</xdr:rowOff>
    </xdr:from>
    <xdr:ext cx="178318" cy="25628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973EFC66-9655-4637-B2F1-855223EE7336}"/>
                </a:ext>
              </a:extLst>
            </xdr:cNvPr>
            <xdr:cNvSpPr txBox="1"/>
          </xdr:nvSpPr>
          <xdr:spPr>
            <a:xfrm>
              <a:off x="4447858" y="8578691"/>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8" name="CuadroTexto 7">
              <a:extLst>
                <a:ext uri="{FF2B5EF4-FFF2-40B4-BE49-F238E27FC236}">
                  <a16:creationId xmlns:a16="http://schemas.microsoft.com/office/drawing/2014/main" id="{973EFC66-9655-4637-B2F1-855223EE7336}"/>
                </a:ext>
              </a:extLst>
            </xdr:cNvPr>
            <xdr:cNvSpPr txBox="1"/>
          </xdr:nvSpPr>
          <xdr:spPr>
            <a:xfrm>
              <a:off x="4447858" y="8578691"/>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twoCellAnchor editAs="oneCell">
    <xdr:from>
      <xdr:col>4</xdr:col>
      <xdr:colOff>303365</xdr:colOff>
      <xdr:row>16</xdr:row>
      <xdr:rowOff>156218</xdr:rowOff>
    </xdr:from>
    <xdr:to>
      <xdr:col>8</xdr:col>
      <xdr:colOff>111180</xdr:colOff>
      <xdr:row>23</xdr:row>
      <xdr:rowOff>38962</xdr:rowOff>
    </xdr:to>
    <xdr:pic>
      <xdr:nvPicPr>
        <xdr:cNvPr id="3" name="Imagen 2">
          <a:extLst>
            <a:ext uri="{FF2B5EF4-FFF2-40B4-BE49-F238E27FC236}">
              <a16:creationId xmlns:a16="http://schemas.microsoft.com/office/drawing/2014/main" id="{7078CB4A-CC22-785F-4071-25926E090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0917" y="3204218"/>
          <a:ext cx="3348487" cy="162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19707</xdr:colOff>
      <xdr:row>23</xdr:row>
      <xdr:rowOff>1</xdr:rowOff>
    </xdr:from>
    <xdr:ext cx="600164" cy="224229"/>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F082EE2E-A13F-40BD-8B48-6A6C371E316C}"/>
                </a:ext>
              </a:extLst>
            </xdr:cNvPr>
            <xdr:cNvSpPr txBox="1"/>
          </xdr:nvSpPr>
          <xdr:spPr>
            <a:xfrm>
              <a:off x="19707" y="4788777"/>
              <a:ext cx="600164" cy="224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i="1">
                        <a:solidFill>
                          <a:schemeClr val="bg1"/>
                        </a:solidFill>
                        <a:effectLst/>
                        <a:latin typeface="Cambria Math" panose="02040503050406030204" pitchFamily="18" charset="0"/>
                        <a:ea typeface="+mn-ea"/>
                        <a:cs typeface="+mn-cs"/>
                      </a:rPr>
                      <m:t>𝑃</m:t>
                    </m:r>
                    <m:d>
                      <m:dPr>
                        <m:ctrlPr>
                          <a:rPr lang="es-ES" sz="1400" i="1">
                            <a:solidFill>
                              <a:schemeClr val="bg1"/>
                            </a:solidFill>
                            <a:effectLst/>
                            <a:latin typeface="Cambria Math" panose="02040503050406030204" pitchFamily="18" charset="0"/>
                            <a:ea typeface="+mn-ea"/>
                            <a:cs typeface="+mn-cs"/>
                          </a:rPr>
                        </m:ctrlPr>
                      </m:dPr>
                      <m:e>
                        <m:r>
                          <a:rPr lang="es-ES" sz="1400" b="0" i="1">
                            <a:solidFill>
                              <a:schemeClr val="bg1"/>
                            </a:solidFill>
                            <a:effectLst/>
                            <a:latin typeface="Cambria Math" panose="02040503050406030204" pitchFamily="18" charset="0"/>
                            <a:ea typeface="+mn-ea"/>
                            <a:cs typeface="+mn-cs"/>
                          </a:rPr>
                          <m:t>𝐵</m:t>
                        </m:r>
                        <m:r>
                          <a:rPr lang="es-ES" sz="1400" b="0" i="1">
                            <a:solidFill>
                              <a:schemeClr val="bg1"/>
                            </a:solidFill>
                            <a:effectLst/>
                            <a:latin typeface="Cambria Math" panose="02040503050406030204" pitchFamily="18" charset="0"/>
                            <a:ea typeface="+mn-ea"/>
                            <a:cs typeface="+mn-cs"/>
                          </a:rPr>
                          <m:t>|</m:t>
                        </m:r>
                        <m:acc>
                          <m:accPr>
                            <m:chr m:val="̅"/>
                            <m:ctrlPr>
                              <a:rPr lang="es-ES" sz="1400" i="1">
                                <a:solidFill>
                                  <a:schemeClr val="bg1"/>
                                </a:solidFill>
                                <a:effectLst/>
                                <a:latin typeface="Cambria Math" panose="02040503050406030204" pitchFamily="18" charset="0"/>
                                <a:ea typeface="+mn-ea"/>
                                <a:cs typeface="+mn-cs"/>
                              </a:rPr>
                            </m:ctrlPr>
                          </m:accPr>
                          <m:e>
                            <m:r>
                              <a:rPr lang="es-ES" sz="1400" b="0" i="1">
                                <a:solidFill>
                                  <a:schemeClr val="bg1"/>
                                </a:solidFill>
                                <a:effectLst/>
                                <a:latin typeface="Cambria Math" panose="02040503050406030204" pitchFamily="18" charset="0"/>
                                <a:ea typeface="+mn-ea"/>
                                <a:cs typeface="+mn-cs"/>
                              </a:rPr>
                              <m:t>𝐴</m:t>
                            </m:r>
                          </m:e>
                        </m:acc>
                      </m:e>
                    </m:d>
                  </m:oMath>
                </m:oMathPara>
              </a14:m>
              <a:endParaRPr lang="es-ES" sz="1400" kern="1200">
                <a:solidFill>
                  <a:schemeClr val="bg1"/>
                </a:solidFill>
                <a:latin typeface="+mn-lt"/>
              </a:endParaRPr>
            </a:p>
          </xdr:txBody>
        </xdr:sp>
      </mc:Choice>
      <mc:Fallback xmlns="">
        <xdr:sp macro="" textlink="">
          <xdr:nvSpPr>
            <xdr:cNvPr id="4" name="CuadroTexto 3">
              <a:extLst>
                <a:ext uri="{FF2B5EF4-FFF2-40B4-BE49-F238E27FC236}">
                  <a16:creationId xmlns:a16="http://schemas.microsoft.com/office/drawing/2014/main" id="{F082EE2E-A13F-40BD-8B48-6A6C371E316C}"/>
                </a:ext>
              </a:extLst>
            </xdr:cNvPr>
            <xdr:cNvSpPr txBox="1"/>
          </xdr:nvSpPr>
          <xdr:spPr>
            <a:xfrm>
              <a:off x="19707" y="4788777"/>
              <a:ext cx="600164" cy="224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400" i="0">
                  <a:solidFill>
                    <a:schemeClr val="bg1"/>
                  </a:solidFill>
                  <a:effectLst/>
                  <a:latin typeface="Cambria Math" panose="02040503050406030204" pitchFamily="18" charset="0"/>
                  <a:ea typeface="+mn-ea"/>
                  <a:cs typeface="+mn-cs"/>
                </a:rPr>
                <a:t>𝑃(</a:t>
              </a:r>
              <a:r>
                <a:rPr lang="es-ES" sz="1400" b="0" i="0">
                  <a:solidFill>
                    <a:schemeClr val="bg1"/>
                  </a:solidFill>
                  <a:effectLst/>
                  <a:latin typeface="Cambria Math" panose="02040503050406030204" pitchFamily="18" charset="0"/>
                  <a:ea typeface="+mn-ea"/>
                  <a:cs typeface="+mn-cs"/>
                </a:rPr>
                <a:t>𝐵|𝐴 ̅ )</a:t>
              </a:r>
              <a:endParaRPr lang="es-ES" sz="1400" kern="1200">
                <a:solidFill>
                  <a:schemeClr val="bg1"/>
                </a:solidFill>
                <a:latin typeface="+mn-lt"/>
              </a:endParaRPr>
            </a:p>
          </xdr:txBody>
        </xdr:sp>
      </mc:Fallback>
    </mc:AlternateContent>
    <xdr:clientData/>
  </xdr:oneCellAnchor>
  <xdr:oneCellAnchor>
    <xdr:from>
      <xdr:col>0</xdr:col>
      <xdr:colOff>0</xdr:colOff>
      <xdr:row>23</xdr:row>
      <xdr:rowOff>269327</xdr:rowOff>
    </xdr:from>
    <xdr:ext cx="592535" cy="224229"/>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8FC2A4C8-968F-4922-B4E1-A54B795E49A0}"/>
                </a:ext>
              </a:extLst>
            </xdr:cNvPr>
            <xdr:cNvSpPr txBox="1"/>
          </xdr:nvSpPr>
          <xdr:spPr>
            <a:xfrm>
              <a:off x="0" y="5058103"/>
              <a:ext cx="592535" cy="224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i="1">
                        <a:solidFill>
                          <a:schemeClr val="bg1"/>
                        </a:solidFill>
                        <a:effectLst/>
                        <a:latin typeface="Cambria Math" panose="02040503050406030204" pitchFamily="18" charset="0"/>
                        <a:ea typeface="+mn-ea"/>
                        <a:cs typeface="+mn-cs"/>
                      </a:rPr>
                      <m:t>𝑃</m:t>
                    </m:r>
                    <m:d>
                      <m:dPr>
                        <m:ctrlPr>
                          <a:rPr lang="es-ES" sz="1400" i="1">
                            <a:solidFill>
                              <a:schemeClr val="bg1"/>
                            </a:solidFill>
                            <a:effectLst/>
                            <a:latin typeface="Cambria Math" panose="02040503050406030204" pitchFamily="18" charset="0"/>
                            <a:ea typeface="+mn-ea"/>
                            <a:cs typeface="+mn-cs"/>
                          </a:rPr>
                        </m:ctrlPr>
                      </m:dPr>
                      <m:e>
                        <m:r>
                          <a:rPr lang="es-ES" sz="1400" b="0" i="1">
                            <a:solidFill>
                              <a:schemeClr val="bg1"/>
                            </a:solidFill>
                            <a:effectLst/>
                            <a:latin typeface="Cambria Math" panose="02040503050406030204" pitchFamily="18" charset="0"/>
                            <a:ea typeface="+mn-ea"/>
                            <a:cs typeface="+mn-cs"/>
                          </a:rPr>
                          <m:t>𝐶</m:t>
                        </m:r>
                        <m:r>
                          <a:rPr lang="es-ES" sz="1400" b="0" i="1">
                            <a:solidFill>
                              <a:schemeClr val="bg1"/>
                            </a:solidFill>
                            <a:effectLst/>
                            <a:latin typeface="Cambria Math" panose="02040503050406030204" pitchFamily="18" charset="0"/>
                            <a:ea typeface="+mn-ea"/>
                            <a:cs typeface="+mn-cs"/>
                          </a:rPr>
                          <m:t>|</m:t>
                        </m:r>
                        <m:acc>
                          <m:accPr>
                            <m:chr m:val="̅"/>
                            <m:ctrlPr>
                              <a:rPr lang="es-ES" sz="1400" i="1">
                                <a:solidFill>
                                  <a:schemeClr val="bg1"/>
                                </a:solidFill>
                                <a:effectLst/>
                                <a:latin typeface="Cambria Math" panose="02040503050406030204" pitchFamily="18" charset="0"/>
                                <a:ea typeface="+mn-ea"/>
                                <a:cs typeface="+mn-cs"/>
                              </a:rPr>
                            </m:ctrlPr>
                          </m:accPr>
                          <m:e>
                            <m:r>
                              <a:rPr lang="es-ES" sz="1400" b="0" i="1">
                                <a:solidFill>
                                  <a:schemeClr val="bg1"/>
                                </a:solidFill>
                                <a:effectLst/>
                                <a:latin typeface="Cambria Math" panose="02040503050406030204" pitchFamily="18" charset="0"/>
                                <a:ea typeface="+mn-ea"/>
                                <a:cs typeface="+mn-cs"/>
                              </a:rPr>
                              <m:t>𝐴</m:t>
                            </m:r>
                          </m:e>
                        </m:acc>
                      </m:e>
                    </m:d>
                  </m:oMath>
                </m:oMathPara>
              </a14:m>
              <a:endParaRPr lang="es-ES" sz="1400" kern="1200">
                <a:solidFill>
                  <a:schemeClr val="bg1"/>
                </a:solidFill>
                <a:latin typeface="+mn-lt"/>
              </a:endParaRPr>
            </a:p>
          </xdr:txBody>
        </xdr:sp>
      </mc:Choice>
      <mc:Fallback xmlns="">
        <xdr:sp macro="" textlink="">
          <xdr:nvSpPr>
            <xdr:cNvPr id="5" name="CuadroTexto 4">
              <a:extLst>
                <a:ext uri="{FF2B5EF4-FFF2-40B4-BE49-F238E27FC236}">
                  <a16:creationId xmlns:a16="http://schemas.microsoft.com/office/drawing/2014/main" id="{8FC2A4C8-968F-4922-B4E1-A54B795E49A0}"/>
                </a:ext>
              </a:extLst>
            </xdr:cNvPr>
            <xdr:cNvSpPr txBox="1"/>
          </xdr:nvSpPr>
          <xdr:spPr>
            <a:xfrm>
              <a:off x="0" y="5058103"/>
              <a:ext cx="592535" cy="224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400" i="0">
                  <a:solidFill>
                    <a:schemeClr val="bg1"/>
                  </a:solidFill>
                  <a:effectLst/>
                  <a:latin typeface="Cambria Math" panose="02040503050406030204" pitchFamily="18" charset="0"/>
                  <a:ea typeface="+mn-ea"/>
                  <a:cs typeface="+mn-cs"/>
                </a:rPr>
                <a:t>𝑃(</a:t>
              </a:r>
              <a:r>
                <a:rPr lang="es-ES" sz="1400" b="0" i="0">
                  <a:solidFill>
                    <a:schemeClr val="bg1"/>
                  </a:solidFill>
                  <a:effectLst/>
                  <a:latin typeface="Cambria Math" panose="02040503050406030204" pitchFamily="18" charset="0"/>
                  <a:ea typeface="+mn-ea"/>
                  <a:cs typeface="+mn-cs"/>
                </a:rPr>
                <a:t>𝐶|𝐴 ̅ )</a:t>
              </a:r>
              <a:endParaRPr lang="es-ES" sz="1400" kern="1200">
                <a:solidFill>
                  <a:schemeClr val="bg1"/>
                </a:solidFill>
                <a:latin typeface="+mn-lt"/>
              </a:endParaRPr>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twoCellAnchor>
    <xdr:from>
      <xdr:col>0</xdr:col>
      <xdr:colOff>3</xdr:colOff>
      <xdr:row>0</xdr:row>
      <xdr:rowOff>1</xdr:rowOff>
    </xdr:from>
    <xdr:to>
      <xdr:col>10</xdr:col>
      <xdr:colOff>701994</xdr:colOff>
      <xdr:row>21</xdr:row>
      <xdr:rowOff>9525</xdr:rowOff>
    </xdr:to>
    <xdr:sp macro="" textlink="">
      <xdr:nvSpPr>
        <xdr:cNvPr id="2" name="CuadroTexto 1">
          <a:extLst>
            <a:ext uri="{FF2B5EF4-FFF2-40B4-BE49-F238E27FC236}">
              <a16:creationId xmlns:a16="http://schemas.microsoft.com/office/drawing/2014/main" id="{1F0C81AF-2812-46C4-A5C2-38AA8DFE29B0}"/>
            </a:ext>
          </a:extLst>
        </xdr:cNvPr>
        <xdr:cNvSpPr txBox="1"/>
      </xdr:nvSpPr>
      <xdr:spPr>
        <a:xfrm>
          <a:off x="3" y="1"/>
          <a:ext cx="11484291" cy="4010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3-17.</a:t>
          </a:r>
          <a:r>
            <a:rPr lang="es-ES" sz="1400">
              <a:solidFill>
                <a:schemeClr val="dk1"/>
              </a:solidFill>
              <a:effectLst/>
              <a:latin typeface="+mn-lt"/>
              <a:ea typeface="+mn-ea"/>
              <a:cs typeface="+mn-cs"/>
            </a:rPr>
            <a:t> Una planta de producción de neumáticos cuenta con un proceso final de inspección para determinar si un neumático cumple los requerimientos de calidad exigidos por el cliente. El proceso de inspección no es perfecto: algunos neumáticos defectuosos son clasificados como no defectuosos y enviados al cliente. Igualmente algunos neumáticos no defectuosos se clasifican como defectuosos y por tanto son desechados.</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Se sabe que del total de neumáticos fabricados el 10% se clasifican como defectuosos en la inspección. De los neumáticos enviados al cliente el 1% son defectuosos. Se ha realizado un estudio para determinar el porcentaje real de neumáticos defectuosos fabricados, que ha resultado ser del 8%.</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Se pide:</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Definir los sucesos que permitirán el planteamiento del modelo matemático que se empleará para resolver el problema.</a:t>
          </a:r>
        </a:p>
        <a:p>
          <a:pPr lvl="0"/>
          <a:r>
            <a:rPr lang="es-ES" sz="1400">
              <a:solidFill>
                <a:schemeClr val="dk1"/>
              </a:solidFill>
              <a:effectLst/>
              <a:latin typeface="+mn-lt"/>
              <a:ea typeface="+mn-ea"/>
              <a:cs typeface="+mn-cs"/>
            </a:rPr>
            <a:t>b)</a:t>
          </a:r>
          <a:r>
            <a:rPr lang="es-ES" sz="1400" baseline="0">
              <a:solidFill>
                <a:schemeClr val="dk1"/>
              </a:solidFill>
              <a:effectLst/>
              <a:latin typeface="+mn-lt"/>
              <a:ea typeface="+mn-ea"/>
              <a:cs typeface="+mn-cs"/>
            </a:rPr>
            <a:t> </a:t>
          </a:r>
          <a:r>
            <a:rPr lang="es-ES" sz="1400">
              <a:solidFill>
                <a:schemeClr val="dk1"/>
              </a:solidFill>
              <a:effectLst/>
              <a:latin typeface="+mn-lt"/>
              <a:ea typeface="+mn-ea"/>
              <a:cs typeface="+mn-cs"/>
            </a:rPr>
            <a:t>Construir un diagrama de árbol para identificar los sucesos posibles con las probabilidades proporcionadas como datos.</a:t>
          </a:r>
        </a:p>
        <a:p>
          <a:pPr lvl="0"/>
          <a:r>
            <a:rPr lang="es-ES" sz="1400">
              <a:solidFill>
                <a:schemeClr val="dk1"/>
              </a:solidFill>
              <a:effectLst/>
              <a:latin typeface="+mn-lt"/>
              <a:ea typeface="+mn-ea"/>
              <a:cs typeface="+mn-cs"/>
            </a:rPr>
            <a:t>c) Calcular la probabilidad de que una pieza defectuosa sea detectada en la inspección.</a:t>
          </a:r>
        </a:p>
        <a:p>
          <a:pPr lvl="0"/>
          <a:r>
            <a:rPr lang="es-ES" sz="1400">
              <a:solidFill>
                <a:schemeClr val="dk1"/>
              </a:solidFill>
              <a:effectLst/>
              <a:latin typeface="+mn-lt"/>
              <a:ea typeface="+mn-ea"/>
              <a:cs typeface="+mn-cs"/>
            </a:rPr>
            <a:t>d) Sabiendo que el beneficio promedio que se obtiene con la venta de un neumático en buenas condiciones es de 10€, la pérdida por desechar un neumático (tanto si es realmente defectuoso o no) es de 20€ y la pérdida que se obtiene por enviar un neumático defectuoso al cliente es de 100€, ¿Cuál es el beneficio medio por neumático fabricado por la empresa?</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NOTA: Construir el árbol de probabilidad partiendo de los sucesos desechar un neumático en la inspección / no desecharlo.</a:t>
          </a:r>
        </a:p>
        <a:p>
          <a:endParaRPr lang="es-ES" sz="1100" kern="1200"/>
        </a:p>
      </xdr:txBody>
    </xdr:sp>
    <xdr:clientData/>
  </xdr:twoCellAnchor>
  <xdr:twoCellAnchor>
    <xdr:from>
      <xdr:col>0</xdr:col>
      <xdr:colOff>85725</xdr:colOff>
      <xdr:row>30</xdr:row>
      <xdr:rowOff>138113</xdr:rowOff>
    </xdr:from>
    <xdr:to>
      <xdr:col>4</xdr:col>
      <xdr:colOff>571500</xdr:colOff>
      <xdr:row>48</xdr:row>
      <xdr:rowOff>38100</xdr:rowOff>
    </xdr:to>
    <xdr:sp macro="" textlink="">
      <xdr:nvSpPr>
        <xdr:cNvPr id="6" name="CuadroTexto 5">
          <a:extLst>
            <a:ext uri="{FF2B5EF4-FFF2-40B4-BE49-F238E27FC236}">
              <a16:creationId xmlns:a16="http://schemas.microsoft.com/office/drawing/2014/main" id="{D343910C-0952-3547-8464-08F2707E7AE1}"/>
            </a:ext>
          </a:extLst>
        </xdr:cNvPr>
        <xdr:cNvSpPr txBox="1"/>
      </xdr:nvSpPr>
      <xdr:spPr>
        <a:xfrm>
          <a:off x="85725" y="6491288"/>
          <a:ext cx="6138863" cy="3338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kern="1200"/>
        </a:p>
      </xdr:txBody>
    </xdr:sp>
    <xdr:clientData/>
  </xdr:twoCellAnchor>
  <xdr:oneCellAnchor>
    <xdr:from>
      <xdr:col>0</xdr:col>
      <xdr:colOff>436245</xdr:colOff>
      <xdr:row>52</xdr:row>
      <xdr:rowOff>21748</xdr:rowOff>
    </xdr:from>
    <xdr:ext cx="177806" cy="256289"/>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CF15101F-40FE-1069-B8BB-0F4B507C328F}"/>
                </a:ext>
              </a:extLst>
            </xdr:cNvPr>
            <xdr:cNvSpPr txBox="1"/>
          </xdr:nvSpPr>
          <xdr:spPr>
            <a:xfrm>
              <a:off x="436245" y="10480198"/>
              <a:ext cx="177806"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𝐶</m:t>
                        </m:r>
                      </m:e>
                    </m:acc>
                  </m:oMath>
                </m:oMathPara>
              </a14:m>
              <a:endParaRPr lang="es-ES" sz="1600" kern="1200">
                <a:solidFill>
                  <a:schemeClr val="bg1"/>
                </a:solidFill>
                <a:latin typeface="+mn-lt"/>
              </a:endParaRPr>
            </a:p>
          </xdr:txBody>
        </xdr:sp>
      </mc:Choice>
      <mc:Fallback xmlns="">
        <xdr:sp macro="" textlink="">
          <xdr:nvSpPr>
            <xdr:cNvPr id="7" name="CuadroTexto 6">
              <a:extLst>
                <a:ext uri="{FF2B5EF4-FFF2-40B4-BE49-F238E27FC236}">
                  <a16:creationId xmlns:a16="http://schemas.microsoft.com/office/drawing/2014/main" id="{CF15101F-40FE-1069-B8BB-0F4B507C328F}"/>
                </a:ext>
              </a:extLst>
            </xdr:cNvPr>
            <xdr:cNvSpPr txBox="1"/>
          </xdr:nvSpPr>
          <xdr:spPr>
            <a:xfrm>
              <a:off x="436245" y="10480198"/>
              <a:ext cx="177806"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𝐶 ̅</a:t>
              </a:r>
              <a:endParaRPr lang="es-ES" sz="1600" kern="1200">
                <a:solidFill>
                  <a:schemeClr val="bg1"/>
                </a:solidFill>
                <a:latin typeface="+mn-lt"/>
              </a:endParaRPr>
            </a:p>
          </xdr:txBody>
        </xdr:sp>
      </mc:Fallback>
    </mc:AlternateContent>
    <xdr:clientData/>
  </xdr:oneCellAnchor>
  <xdr:oneCellAnchor>
    <xdr:from>
      <xdr:col>1</xdr:col>
      <xdr:colOff>4167</xdr:colOff>
      <xdr:row>25</xdr:row>
      <xdr:rowOff>45839</xdr:rowOff>
    </xdr:from>
    <xdr:ext cx="2868606" cy="175113"/>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A8427FAD-D4C0-574A-5345-60B6B17AEF19}"/>
                </a:ext>
              </a:extLst>
            </xdr:cNvPr>
            <xdr:cNvSpPr txBox="1"/>
          </xdr:nvSpPr>
          <xdr:spPr>
            <a:xfrm>
              <a:off x="1706761" y="5052417"/>
              <a:ext cx="2868606"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i="1">
                            <a:latin typeface="Cambria Math" panose="02040503050406030204" pitchFamily="18" charset="0"/>
                          </a:rPr>
                        </m:ctrlPr>
                      </m:accPr>
                      <m:e>
                        <m:r>
                          <a:rPr lang="es-ES" sz="1100" b="0" i="1">
                            <a:latin typeface="Cambria Math" panose="02040503050406030204" pitchFamily="18" charset="0"/>
                          </a:rPr>
                          <m:t>𝐷</m:t>
                        </m:r>
                      </m:e>
                    </m:acc>
                    <m:r>
                      <a:rPr lang="es-ES" sz="1100" b="0" i="0">
                        <a:latin typeface="Cambria Math" panose="02040503050406030204" pitchFamily="18" charset="0"/>
                      </a:rPr>
                      <m:t>={</m:t>
                    </m:r>
                    <m:r>
                      <m:rPr>
                        <m:sty m:val="p"/>
                      </m:rPr>
                      <a:rPr lang="es-ES" sz="1100" b="0" i="0">
                        <a:latin typeface="Cambria Math" panose="02040503050406030204" pitchFamily="18" charset="0"/>
                      </a:rPr>
                      <m:t>ne</m:t>
                    </m:r>
                    <m:r>
                      <a:rPr lang="es-ES" sz="1100" b="0" i="0">
                        <a:latin typeface="Cambria Math" panose="02040503050406030204" pitchFamily="18" charset="0"/>
                      </a:rPr>
                      <m:t>ú</m:t>
                    </m:r>
                    <m:r>
                      <m:rPr>
                        <m:sty m:val="p"/>
                      </m:rPr>
                      <a:rPr lang="es-ES" sz="1100" b="0" i="0">
                        <a:latin typeface="Cambria Math" panose="02040503050406030204" pitchFamily="18" charset="0"/>
                      </a:rPr>
                      <m:t>matico</m:t>
                    </m:r>
                    <m:r>
                      <a:rPr lang="es-ES" sz="1100" b="0" i="0">
                        <a:latin typeface="Cambria Math" panose="02040503050406030204" pitchFamily="18" charset="0"/>
                      </a:rPr>
                      <m:t> </m:t>
                    </m:r>
                    <m:r>
                      <m:rPr>
                        <m:sty m:val="p"/>
                      </m:rPr>
                      <a:rPr lang="es-ES" sz="1100" b="0" i="0">
                        <a:latin typeface="Cambria Math" panose="02040503050406030204" pitchFamily="18" charset="0"/>
                      </a:rPr>
                      <m:t>no</m:t>
                    </m:r>
                    <m:r>
                      <a:rPr lang="es-ES" sz="1100" b="0" i="0">
                        <a:latin typeface="Cambria Math" panose="02040503050406030204" pitchFamily="18" charset="0"/>
                      </a:rPr>
                      <m:t> </m:t>
                    </m:r>
                    <m:r>
                      <m:rPr>
                        <m:sty m:val="p"/>
                      </m:rPr>
                      <a:rPr lang="es-ES" sz="1100" b="0" i="0">
                        <a:latin typeface="Cambria Math" panose="02040503050406030204" pitchFamily="18" charset="0"/>
                      </a:rPr>
                      <m:t>decatado</m:t>
                    </m:r>
                    <m:r>
                      <a:rPr lang="es-ES" sz="1100" b="0" i="0">
                        <a:latin typeface="Cambria Math" panose="02040503050406030204" pitchFamily="18" charset="0"/>
                      </a:rPr>
                      <m:t> </m:t>
                    </m:r>
                    <m:r>
                      <m:rPr>
                        <m:sty m:val="p"/>
                      </m:rPr>
                      <a:rPr lang="es-ES" sz="1100" b="0" i="0">
                        <a:latin typeface="Cambria Math" panose="02040503050406030204" pitchFamily="18" charset="0"/>
                      </a:rPr>
                      <m:t>como</m:t>
                    </m:r>
                    <m:r>
                      <a:rPr lang="es-ES" sz="1100" b="0" i="0">
                        <a:latin typeface="Cambria Math" panose="02040503050406030204" pitchFamily="18" charset="0"/>
                      </a:rPr>
                      <m:t> </m:t>
                    </m:r>
                    <m:r>
                      <m:rPr>
                        <m:sty m:val="p"/>
                      </m:rPr>
                      <a:rPr lang="es-ES" sz="1100" b="0" i="0">
                        <a:latin typeface="Cambria Math" panose="02040503050406030204" pitchFamily="18" charset="0"/>
                      </a:rPr>
                      <m:t>defectuoso</m:t>
                    </m:r>
                    <m:r>
                      <a:rPr lang="es-ES" sz="1100" b="0" i="0">
                        <a:latin typeface="Cambria Math" panose="02040503050406030204" pitchFamily="18" charset="0"/>
                      </a:rPr>
                      <m:t>}</m:t>
                    </m:r>
                  </m:oMath>
                </m:oMathPara>
              </a14:m>
              <a:endParaRPr lang="es-ES" sz="1100"/>
            </a:p>
          </xdr:txBody>
        </xdr:sp>
      </mc:Choice>
      <mc:Fallback xmlns="">
        <xdr:sp macro="" textlink="">
          <xdr:nvSpPr>
            <xdr:cNvPr id="3" name="CuadroTexto 2">
              <a:extLst>
                <a:ext uri="{FF2B5EF4-FFF2-40B4-BE49-F238E27FC236}">
                  <a16:creationId xmlns:a16="http://schemas.microsoft.com/office/drawing/2014/main" id="{A8427FAD-D4C0-574A-5345-60B6B17AEF19}"/>
                </a:ext>
              </a:extLst>
            </xdr:cNvPr>
            <xdr:cNvSpPr txBox="1"/>
          </xdr:nvSpPr>
          <xdr:spPr>
            <a:xfrm>
              <a:off x="1706761" y="5052417"/>
              <a:ext cx="2868606"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𝐷 ̅={neúmatico no decatado como defectuoso}</a:t>
              </a:r>
              <a:endParaRPr lang="es-ES" sz="1100"/>
            </a:p>
          </xdr:txBody>
        </xdr:sp>
      </mc:Fallback>
    </mc:AlternateContent>
    <xdr:clientData/>
  </xdr:oneCellAnchor>
  <xdr:oneCellAnchor>
    <xdr:from>
      <xdr:col>1</xdr:col>
      <xdr:colOff>41672</xdr:colOff>
      <xdr:row>24</xdr:row>
      <xdr:rowOff>77390</xdr:rowOff>
    </xdr:from>
    <xdr:ext cx="2657202" cy="17222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A66A6042-0A89-4135-BAB3-39453C41E619}"/>
                </a:ext>
              </a:extLst>
            </xdr:cNvPr>
            <xdr:cNvSpPr txBox="1"/>
          </xdr:nvSpPr>
          <xdr:spPr>
            <a:xfrm>
              <a:off x="1744266" y="4816078"/>
              <a:ext cx="26572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s-ES" sz="1100" b="0" i="0">
                      <a:latin typeface="Cambria Math" panose="02040503050406030204" pitchFamily="18" charset="0"/>
                    </a:rPr>
                    <m:t>D</m:t>
                  </m:r>
                  <m:r>
                    <a:rPr lang="es-ES" sz="1100" b="0" i="0">
                      <a:latin typeface="Cambria Math" panose="02040503050406030204" pitchFamily="18" charset="0"/>
                    </a:rPr>
                    <m:t>={</m:t>
                  </m:r>
                  <m:r>
                    <m:rPr>
                      <m:sty m:val="p"/>
                    </m:rPr>
                    <a:rPr lang="es-ES" sz="1100" b="0" i="0">
                      <a:latin typeface="Cambria Math" panose="02040503050406030204" pitchFamily="18" charset="0"/>
                    </a:rPr>
                    <m:t>ne</m:t>
                  </m:r>
                  <m:r>
                    <a:rPr lang="es-ES" sz="1100" b="0" i="0">
                      <a:latin typeface="Cambria Math" panose="02040503050406030204" pitchFamily="18" charset="0"/>
                    </a:rPr>
                    <m:t>ú</m:t>
                  </m:r>
                  <m:r>
                    <m:rPr>
                      <m:sty m:val="p"/>
                    </m:rPr>
                    <a:rPr lang="es-ES" sz="1100" b="0" i="0">
                      <a:latin typeface="Cambria Math" panose="02040503050406030204" pitchFamily="18" charset="0"/>
                    </a:rPr>
                    <m:t>matico</m:t>
                  </m:r>
                  <m:r>
                    <a:rPr lang="es-ES" sz="1100" b="0" i="0">
                      <a:latin typeface="Cambria Math" panose="02040503050406030204" pitchFamily="18" charset="0"/>
                    </a:rPr>
                    <m:t>  </m:t>
                  </m:r>
                  <m:r>
                    <m:rPr>
                      <m:sty m:val="p"/>
                    </m:rPr>
                    <a:rPr lang="es-ES" sz="1100" b="0" i="0">
                      <a:latin typeface="Cambria Math" panose="02040503050406030204" pitchFamily="18" charset="0"/>
                    </a:rPr>
                    <m:t>decatado</m:t>
                  </m:r>
                  <m:r>
                    <a:rPr lang="es-ES" sz="1100" b="0" i="0">
                      <a:latin typeface="Cambria Math" panose="02040503050406030204" pitchFamily="18" charset="0"/>
                    </a:rPr>
                    <m:t> </m:t>
                  </m:r>
                  <m:r>
                    <m:rPr>
                      <m:sty m:val="p"/>
                    </m:rPr>
                    <a:rPr lang="es-ES" sz="1100" b="0" i="0">
                      <a:latin typeface="Cambria Math" panose="02040503050406030204" pitchFamily="18" charset="0"/>
                    </a:rPr>
                    <m:t>como</m:t>
                  </m:r>
                  <m:r>
                    <a:rPr lang="es-ES" sz="1100" b="0" i="0">
                      <a:latin typeface="Cambria Math" panose="02040503050406030204" pitchFamily="18" charset="0"/>
                    </a:rPr>
                    <m:t> </m:t>
                  </m:r>
                  <m:r>
                    <m:rPr>
                      <m:sty m:val="p"/>
                    </m:rPr>
                    <a:rPr lang="es-ES" sz="1100" b="0" i="0">
                      <a:latin typeface="Cambria Math" panose="02040503050406030204" pitchFamily="18" charset="0"/>
                    </a:rPr>
                    <m:t>defectuoso</m:t>
                  </m:r>
                </m:oMath>
              </a14:m>
              <a:r>
                <a:rPr lang="es-ES" sz="1100"/>
                <a:t>}</a:t>
              </a:r>
            </a:p>
          </xdr:txBody>
        </xdr:sp>
      </mc:Choice>
      <mc:Fallback xmlns="">
        <xdr:sp macro="" textlink="">
          <xdr:nvSpPr>
            <xdr:cNvPr id="4" name="CuadroTexto 3">
              <a:extLst>
                <a:ext uri="{FF2B5EF4-FFF2-40B4-BE49-F238E27FC236}">
                  <a16:creationId xmlns:a16="http://schemas.microsoft.com/office/drawing/2014/main" id="{A66A6042-0A89-4135-BAB3-39453C41E619}"/>
                </a:ext>
              </a:extLst>
            </xdr:cNvPr>
            <xdr:cNvSpPr txBox="1"/>
          </xdr:nvSpPr>
          <xdr:spPr>
            <a:xfrm>
              <a:off x="1744266" y="4816078"/>
              <a:ext cx="26572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D={neúmatico  decatado como defectuoso</a:t>
              </a:r>
              <a:r>
                <a:rPr lang="es-ES" sz="1100"/>
                <a:t>}</a:t>
              </a:r>
            </a:p>
          </xdr:txBody>
        </xdr:sp>
      </mc:Fallback>
    </mc:AlternateContent>
    <xdr:clientData/>
  </xdr:oneCellAnchor>
  <xdr:oneCellAnchor>
    <xdr:from>
      <xdr:col>1</xdr:col>
      <xdr:colOff>0</xdr:colOff>
      <xdr:row>26</xdr:row>
      <xdr:rowOff>267890</xdr:rowOff>
    </xdr:from>
    <xdr:ext cx="1684051" cy="176202"/>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A09C91A2-068A-4E32-8954-E3AFCF2D80B7}"/>
                </a:ext>
              </a:extLst>
            </xdr:cNvPr>
            <xdr:cNvSpPr txBox="1"/>
          </xdr:nvSpPr>
          <xdr:spPr>
            <a:xfrm>
              <a:off x="1702594" y="5542359"/>
              <a:ext cx="1684051" cy="176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acc>
                    <m:accPr>
                      <m:chr m:val="̅"/>
                      <m:ctrlPr>
                        <a:rPr lang="es-ES" sz="1100" i="1">
                          <a:latin typeface="Cambria Math" panose="02040503050406030204" pitchFamily="18" charset="0"/>
                        </a:rPr>
                      </m:ctrlPr>
                    </m:accPr>
                    <m:e>
                      <m:r>
                        <a:rPr lang="es-ES" sz="1100" b="0" i="1">
                          <a:latin typeface="Cambria Math" panose="02040503050406030204" pitchFamily="18" charset="0"/>
                        </a:rPr>
                        <m:t>𝐶</m:t>
                      </m:r>
                    </m:e>
                  </m:acc>
                  <m:r>
                    <a:rPr lang="es-ES" sz="1100" b="0" i="0">
                      <a:latin typeface="Cambria Math" panose="02040503050406030204" pitchFamily="18" charset="0"/>
                    </a:rPr>
                    <m:t>={</m:t>
                  </m:r>
                  <m:r>
                    <m:rPr>
                      <m:sty m:val="p"/>
                    </m:rPr>
                    <a:rPr lang="es-ES" sz="1100" b="0" i="0">
                      <a:latin typeface="Cambria Math" panose="02040503050406030204" pitchFamily="18" charset="0"/>
                    </a:rPr>
                    <m:t>ne</m:t>
                  </m:r>
                  <m:r>
                    <a:rPr lang="es-ES" sz="1100" b="0" i="0">
                      <a:latin typeface="Cambria Math" panose="02040503050406030204" pitchFamily="18" charset="0"/>
                    </a:rPr>
                    <m:t>ú</m:t>
                  </m:r>
                  <m:r>
                    <m:rPr>
                      <m:sty m:val="p"/>
                    </m:rPr>
                    <a:rPr lang="es-ES" sz="1100" b="0" i="0">
                      <a:latin typeface="Cambria Math" panose="02040503050406030204" pitchFamily="18" charset="0"/>
                    </a:rPr>
                    <m:t>matico</m:t>
                  </m:r>
                  <m:r>
                    <a:rPr lang="es-ES" sz="1100" b="0" i="0">
                      <a:latin typeface="Cambria Math" panose="02040503050406030204" pitchFamily="18" charset="0"/>
                    </a:rPr>
                    <m:t> </m:t>
                  </m:r>
                  <m:r>
                    <m:rPr>
                      <m:sty m:val="p"/>
                    </m:rPr>
                    <a:rPr lang="es-ES" sz="1100" b="0" i="0">
                      <a:latin typeface="Cambria Math" panose="02040503050406030204" pitchFamily="18" charset="0"/>
                    </a:rPr>
                    <m:t>defectuoso</m:t>
                  </m:r>
                </m:oMath>
              </a14:m>
              <a:r>
                <a:rPr lang="es-ES" sz="1100"/>
                <a:t>}</a:t>
              </a:r>
            </a:p>
          </xdr:txBody>
        </xdr:sp>
      </mc:Choice>
      <mc:Fallback xmlns="">
        <xdr:sp macro="" textlink="">
          <xdr:nvSpPr>
            <xdr:cNvPr id="5" name="CuadroTexto 4">
              <a:extLst>
                <a:ext uri="{FF2B5EF4-FFF2-40B4-BE49-F238E27FC236}">
                  <a16:creationId xmlns:a16="http://schemas.microsoft.com/office/drawing/2014/main" id="{A09C91A2-068A-4E32-8954-E3AFCF2D80B7}"/>
                </a:ext>
              </a:extLst>
            </xdr:cNvPr>
            <xdr:cNvSpPr txBox="1"/>
          </xdr:nvSpPr>
          <xdr:spPr>
            <a:xfrm>
              <a:off x="1702594" y="5542359"/>
              <a:ext cx="1684051" cy="176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 ̅={neúmatico defectuoso</a:t>
              </a:r>
              <a:r>
                <a:rPr lang="es-ES" sz="1100"/>
                <a:t>}</a:t>
              </a:r>
            </a:p>
          </xdr:txBody>
        </xdr:sp>
      </mc:Fallback>
    </mc:AlternateContent>
    <xdr:clientData/>
  </xdr:oneCellAnchor>
  <xdr:oneCellAnchor>
    <xdr:from>
      <xdr:col>1</xdr:col>
      <xdr:colOff>0</xdr:colOff>
      <xdr:row>26</xdr:row>
      <xdr:rowOff>0</xdr:rowOff>
    </xdr:from>
    <xdr:ext cx="1912318" cy="172227"/>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6B24FD30-5D5A-40E8-8F44-69ACF001BC69}"/>
                </a:ext>
              </a:extLst>
            </xdr:cNvPr>
            <xdr:cNvSpPr txBox="1"/>
          </xdr:nvSpPr>
          <xdr:spPr>
            <a:xfrm>
              <a:off x="1707931" y="5281448"/>
              <a:ext cx="19123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s-ES" sz="1100" b="0" i="0">
                        <a:latin typeface="Cambria Math" panose="02040503050406030204" pitchFamily="18" charset="0"/>
                      </a:rPr>
                      <m:t>C</m:t>
                    </m:r>
                    <m:r>
                      <a:rPr lang="es-ES" sz="1100" b="0" i="0">
                        <a:latin typeface="Cambria Math" panose="02040503050406030204" pitchFamily="18" charset="0"/>
                      </a:rPr>
                      <m:t>={</m:t>
                    </m:r>
                    <m:r>
                      <m:rPr>
                        <m:sty m:val="p"/>
                      </m:rPr>
                      <a:rPr lang="es-ES" sz="1100" b="0" i="0">
                        <a:latin typeface="Cambria Math" panose="02040503050406030204" pitchFamily="18" charset="0"/>
                      </a:rPr>
                      <m:t>ne</m:t>
                    </m:r>
                    <m:r>
                      <a:rPr lang="es-ES" sz="1100" b="0" i="0">
                        <a:latin typeface="Cambria Math" panose="02040503050406030204" pitchFamily="18" charset="0"/>
                      </a:rPr>
                      <m:t>ú</m:t>
                    </m:r>
                    <m:r>
                      <m:rPr>
                        <m:sty m:val="p"/>
                      </m:rPr>
                      <a:rPr lang="es-ES" sz="1100" b="0" i="0">
                        <a:latin typeface="Cambria Math" panose="02040503050406030204" pitchFamily="18" charset="0"/>
                      </a:rPr>
                      <m:t>matico</m:t>
                    </m:r>
                    <m:r>
                      <a:rPr lang="es-ES" sz="1100" b="0" i="0">
                        <a:latin typeface="Cambria Math" panose="02040503050406030204" pitchFamily="18" charset="0"/>
                      </a:rPr>
                      <m:t> </m:t>
                    </m:r>
                    <m:r>
                      <m:rPr>
                        <m:sty m:val="p"/>
                      </m:rPr>
                      <a:rPr lang="es-ES" sz="1100" b="0" i="0">
                        <a:latin typeface="Cambria Math" panose="02040503050406030204" pitchFamily="18" charset="0"/>
                      </a:rPr>
                      <m:t>no</m:t>
                    </m:r>
                    <m:r>
                      <a:rPr lang="es-ES" sz="1100" b="0" i="0">
                        <a:latin typeface="Cambria Math" panose="02040503050406030204" pitchFamily="18" charset="0"/>
                      </a:rPr>
                      <m:t> </m:t>
                    </m:r>
                    <m:r>
                      <m:rPr>
                        <m:sty m:val="p"/>
                      </m:rPr>
                      <a:rPr lang="es-ES" sz="1100" b="0" i="0">
                        <a:latin typeface="Cambria Math" panose="02040503050406030204" pitchFamily="18" charset="0"/>
                      </a:rPr>
                      <m:t>defectuoso</m:t>
                    </m:r>
                    <m:r>
                      <a:rPr lang="es-ES" sz="1100" b="0" i="0">
                        <a:latin typeface="Cambria Math" panose="02040503050406030204" pitchFamily="18" charset="0"/>
                      </a:rPr>
                      <m:t>}</m:t>
                    </m:r>
                  </m:oMath>
                </m:oMathPara>
              </a14:m>
              <a:endParaRPr lang="es-ES" sz="1100"/>
            </a:p>
          </xdr:txBody>
        </xdr:sp>
      </mc:Choice>
      <mc:Fallback xmlns="">
        <xdr:sp macro="" textlink="">
          <xdr:nvSpPr>
            <xdr:cNvPr id="9" name="CuadroTexto 8">
              <a:extLst>
                <a:ext uri="{FF2B5EF4-FFF2-40B4-BE49-F238E27FC236}">
                  <a16:creationId xmlns:a16="http://schemas.microsoft.com/office/drawing/2014/main" id="{6B24FD30-5D5A-40E8-8F44-69ACF001BC69}"/>
                </a:ext>
              </a:extLst>
            </xdr:cNvPr>
            <xdr:cNvSpPr txBox="1"/>
          </xdr:nvSpPr>
          <xdr:spPr>
            <a:xfrm>
              <a:off x="1707931" y="5281448"/>
              <a:ext cx="19123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C={neúmatico no defectuoso}</a:t>
              </a:r>
              <a:endParaRPr lang="es-ES" sz="1100"/>
            </a:p>
          </xdr:txBody>
        </xdr:sp>
      </mc:Fallback>
    </mc:AlternateContent>
    <xdr:clientData/>
  </xdr:oneCellAnchor>
  <xdr:twoCellAnchor editAs="oneCell">
    <xdr:from>
      <xdr:col>0</xdr:col>
      <xdr:colOff>617483</xdr:colOff>
      <xdr:row>34</xdr:row>
      <xdr:rowOff>32845</xdr:rowOff>
    </xdr:from>
    <xdr:to>
      <xdr:col>1</xdr:col>
      <xdr:colOff>814552</xdr:colOff>
      <xdr:row>46</xdr:row>
      <xdr:rowOff>90481</xdr:rowOff>
    </xdr:to>
    <xdr:pic>
      <xdr:nvPicPr>
        <xdr:cNvPr id="10" name="Imagen 9">
          <a:extLst>
            <a:ext uri="{FF2B5EF4-FFF2-40B4-BE49-F238E27FC236}">
              <a16:creationId xmlns:a16="http://schemas.microsoft.com/office/drawing/2014/main" id="{00D852BD-B97A-9AA1-F2BC-8F0CB2835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483" y="7166742"/>
          <a:ext cx="2857500" cy="2343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41672</xdr:colOff>
      <xdr:row>24</xdr:row>
      <xdr:rowOff>77390</xdr:rowOff>
    </xdr:from>
    <xdr:ext cx="65" cy="172227"/>
    <xdr:sp macro="" textlink="">
      <xdr:nvSpPr>
        <xdr:cNvPr id="11" name="CuadroTexto 10">
          <a:extLst>
            <a:ext uri="{FF2B5EF4-FFF2-40B4-BE49-F238E27FC236}">
              <a16:creationId xmlns:a16="http://schemas.microsoft.com/office/drawing/2014/main" id="{31B400E3-340E-4BE4-B453-1EFA7986F970}"/>
            </a:ext>
          </a:extLst>
        </xdr:cNvPr>
        <xdr:cNvSpPr txBox="1"/>
      </xdr:nvSpPr>
      <xdr:spPr>
        <a:xfrm>
          <a:off x="4948689" y="48201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oneCellAnchor>
    <xdr:from>
      <xdr:col>2</xdr:col>
      <xdr:colOff>41672</xdr:colOff>
      <xdr:row>25</xdr:row>
      <xdr:rowOff>77390</xdr:rowOff>
    </xdr:from>
    <xdr:ext cx="65" cy="172227"/>
    <xdr:sp macro="" textlink="">
      <xdr:nvSpPr>
        <xdr:cNvPr id="12" name="CuadroTexto 11">
          <a:extLst>
            <a:ext uri="{FF2B5EF4-FFF2-40B4-BE49-F238E27FC236}">
              <a16:creationId xmlns:a16="http://schemas.microsoft.com/office/drawing/2014/main" id="{E1DE5284-7053-4EBC-BA62-9FD83A2C7F8B}"/>
            </a:ext>
          </a:extLst>
        </xdr:cNvPr>
        <xdr:cNvSpPr txBox="1"/>
      </xdr:nvSpPr>
      <xdr:spPr>
        <a:xfrm>
          <a:off x="4948689" y="48201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oneCellAnchor>
    <xdr:from>
      <xdr:col>2</xdr:col>
      <xdr:colOff>41672</xdr:colOff>
      <xdr:row>26</xdr:row>
      <xdr:rowOff>77390</xdr:rowOff>
    </xdr:from>
    <xdr:ext cx="65" cy="172227"/>
    <xdr:sp macro="" textlink="">
      <xdr:nvSpPr>
        <xdr:cNvPr id="13" name="CuadroTexto 12">
          <a:extLst>
            <a:ext uri="{FF2B5EF4-FFF2-40B4-BE49-F238E27FC236}">
              <a16:creationId xmlns:a16="http://schemas.microsoft.com/office/drawing/2014/main" id="{9A1D1CE6-11BE-4ABE-B2E7-669043CC2018}"/>
            </a:ext>
          </a:extLst>
        </xdr:cNvPr>
        <xdr:cNvSpPr txBox="1"/>
      </xdr:nvSpPr>
      <xdr:spPr>
        <a:xfrm>
          <a:off x="4948689" y="48201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oneCellAnchor>
    <xdr:from>
      <xdr:col>2</xdr:col>
      <xdr:colOff>41672</xdr:colOff>
      <xdr:row>27</xdr:row>
      <xdr:rowOff>77390</xdr:rowOff>
    </xdr:from>
    <xdr:ext cx="65" cy="172227"/>
    <xdr:sp macro="" textlink="">
      <xdr:nvSpPr>
        <xdr:cNvPr id="14" name="CuadroTexto 13">
          <a:extLst>
            <a:ext uri="{FF2B5EF4-FFF2-40B4-BE49-F238E27FC236}">
              <a16:creationId xmlns:a16="http://schemas.microsoft.com/office/drawing/2014/main" id="{D594B7D3-B0F4-4A5A-B5A1-670832D396F9}"/>
            </a:ext>
          </a:extLst>
        </xdr:cNvPr>
        <xdr:cNvSpPr txBox="1"/>
      </xdr:nvSpPr>
      <xdr:spPr>
        <a:xfrm>
          <a:off x="4948689" y="48201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oneCellAnchor>
    <xdr:from>
      <xdr:col>1</xdr:col>
      <xdr:colOff>41672</xdr:colOff>
      <xdr:row>52</xdr:row>
      <xdr:rowOff>77390</xdr:rowOff>
    </xdr:from>
    <xdr:ext cx="65" cy="172227"/>
    <xdr:sp macro="" textlink="">
      <xdr:nvSpPr>
        <xdr:cNvPr id="15" name="CuadroTexto 14">
          <a:extLst>
            <a:ext uri="{FF2B5EF4-FFF2-40B4-BE49-F238E27FC236}">
              <a16:creationId xmlns:a16="http://schemas.microsoft.com/office/drawing/2014/main" id="{2B2E8088-C8D8-44D4-91F7-A50ACFB5B9F3}"/>
            </a:ext>
          </a:extLst>
        </xdr:cNvPr>
        <xdr:cNvSpPr txBox="1"/>
      </xdr:nvSpPr>
      <xdr:spPr>
        <a:xfrm>
          <a:off x="4948689" y="562816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oneCellAnchor>
    <xdr:from>
      <xdr:col>1</xdr:col>
      <xdr:colOff>41672</xdr:colOff>
      <xdr:row>51</xdr:row>
      <xdr:rowOff>77390</xdr:rowOff>
    </xdr:from>
    <xdr:ext cx="65" cy="172227"/>
    <xdr:sp macro="" textlink="">
      <xdr:nvSpPr>
        <xdr:cNvPr id="17" name="CuadroTexto 16">
          <a:extLst>
            <a:ext uri="{FF2B5EF4-FFF2-40B4-BE49-F238E27FC236}">
              <a16:creationId xmlns:a16="http://schemas.microsoft.com/office/drawing/2014/main" id="{37B4D5F1-C542-4DD9-A93F-BB52BC548E6E}"/>
            </a:ext>
          </a:extLst>
        </xdr:cNvPr>
        <xdr:cNvSpPr txBox="1"/>
      </xdr:nvSpPr>
      <xdr:spPr>
        <a:xfrm>
          <a:off x="1749603" y="1073225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21"/>
  <sheetViews>
    <sheetView topLeftCell="A11" zoomScale="130" zoomScaleNormal="130" workbookViewId="0">
      <selection activeCell="B22" sqref="B22"/>
    </sheetView>
  </sheetViews>
  <sheetFormatPr baseColWidth="10" defaultColWidth="8.7265625" defaultRowHeight="21" x14ac:dyDescent="1"/>
  <cols>
    <col min="1" max="1" width="39.86328125" style="2" customWidth="1"/>
    <col min="2" max="2" width="36.26953125" style="2" customWidth="1"/>
    <col min="3" max="16384" width="8.7265625" style="2"/>
  </cols>
  <sheetData>
    <row r="6" spans="1:2" x14ac:dyDescent="1">
      <c r="A6" s="1" t="s">
        <v>0</v>
      </c>
      <c r="B6" s="3" t="s">
        <v>80</v>
      </c>
    </row>
    <row r="8" spans="1:2" x14ac:dyDescent="1">
      <c r="A8" s="19" t="s">
        <v>1</v>
      </c>
      <c r="B8" s="3" t="s">
        <v>81</v>
      </c>
    </row>
    <row r="9" spans="1:2" x14ac:dyDescent="1">
      <c r="A9" s="19"/>
      <c r="B9" s="3" t="s">
        <v>82</v>
      </c>
    </row>
    <row r="10" spans="1:2" x14ac:dyDescent="1">
      <c r="A10" s="19"/>
      <c r="B10" s="3" t="s">
        <v>83</v>
      </c>
    </row>
    <row r="11" spans="1:2" x14ac:dyDescent="1">
      <c r="A11" s="19"/>
      <c r="B11" s="3" t="s">
        <v>84</v>
      </c>
    </row>
    <row r="13" spans="1:2" x14ac:dyDescent="1">
      <c r="A13" s="1" t="s">
        <v>2</v>
      </c>
      <c r="B13" s="3">
        <f>3000/6000</f>
        <v>0.5</v>
      </c>
    </row>
    <row r="14" spans="1:2" x14ac:dyDescent="1">
      <c r="A14" s="1" t="s">
        <v>3</v>
      </c>
      <c r="B14" s="3">
        <f>2000/6000</f>
        <v>0.33333333333333331</v>
      </c>
    </row>
    <row r="15" spans="1:2" x14ac:dyDescent="1">
      <c r="A15" s="1" t="s">
        <v>4</v>
      </c>
      <c r="B15" s="3">
        <f>1/5</f>
        <v>0.2</v>
      </c>
    </row>
    <row r="16" spans="1:2" x14ac:dyDescent="1">
      <c r="A16" s="1" t="s">
        <v>5</v>
      </c>
      <c r="B16" s="3">
        <f>1/6</f>
        <v>0.16666666666666666</v>
      </c>
    </row>
    <row r="17" spans="1:2" x14ac:dyDescent="1">
      <c r="A17" s="1" t="s">
        <v>6</v>
      </c>
      <c r="B17" s="3">
        <f>1/10</f>
        <v>0.1</v>
      </c>
    </row>
    <row r="18" spans="1:2" x14ac:dyDescent="1">
      <c r="A18" s="1" t="s">
        <v>7</v>
      </c>
      <c r="B18" s="3">
        <f>1/15</f>
        <v>6.6666666666666666E-2</v>
      </c>
    </row>
    <row r="19" spans="1:2" x14ac:dyDescent="1">
      <c r="A19" s="1" t="s">
        <v>85</v>
      </c>
      <c r="B19" s="3">
        <f>1/30</f>
        <v>3.3333333333333333E-2</v>
      </c>
    </row>
    <row r="21" spans="1:2" x14ac:dyDescent="1">
      <c r="A21" s="1" t="s">
        <v>8</v>
      </c>
      <c r="B21" s="3">
        <f>SUM(B13:B15)-SUM(B16:B18)+B19</f>
        <v>0.73333333333333328</v>
      </c>
    </row>
  </sheetData>
  <mergeCells count="1">
    <mergeCell ref="A8:A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76EC-8E9E-467F-80FF-018F2E659CBC}">
  <dimension ref="A8:C19"/>
  <sheetViews>
    <sheetView topLeftCell="A8" zoomScale="130" zoomScaleNormal="130" workbookViewId="0">
      <selection activeCell="B15" sqref="B15"/>
    </sheetView>
  </sheetViews>
  <sheetFormatPr baseColWidth="10" defaultColWidth="10.86328125" defaultRowHeight="21" x14ac:dyDescent="1"/>
  <cols>
    <col min="1" max="1" width="21.54296875" style="2" bestFit="1" customWidth="1"/>
    <col min="2" max="2" width="25.1328125" style="2" customWidth="1"/>
    <col min="3" max="3" width="23.1328125" style="2" customWidth="1"/>
    <col min="4" max="16384" width="10.86328125" style="2"/>
  </cols>
  <sheetData>
    <row r="8" spans="1:3" ht="21.75" thickBot="1" x14ac:dyDescent="1.1499999999999999">
      <c r="A8" s="4" t="s">
        <v>9</v>
      </c>
      <c r="B8" s="4"/>
    </row>
    <row r="9" spans="1:3" ht="21.75" thickTop="1" x14ac:dyDescent="1"/>
    <row r="10" spans="1:3" x14ac:dyDescent="1">
      <c r="A10" s="1"/>
      <c r="B10" s="3">
        <f>1-(0.2+0.16+0.14-0.08-0.05-0.04+0.02)</f>
        <v>0.64999999999999991</v>
      </c>
    </row>
    <row r="11" spans="1:3" x14ac:dyDescent="1">
      <c r="A11" s="1"/>
      <c r="B11" s="3">
        <f>1-(0.09+0.06+0.06+0.03+0.02+0.02+0.07)</f>
        <v>0.64999999999999991</v>
      </c>
      <c r="C11" s="2" t="s">
        <v>86</v>
      </c>
    </row>
    <row r="13" spans="1:3" ht="21.75" thickBot="1" x14ac:dyDescent="1.1499999999999999">
      <c r="A13" s="4" t="s">
        <v>10</v>
      </c>
      <c r="B13" s="4"/>
    </row>
    <row r="14" spans="1:3" ht="21.75" thickTop="1" x14ac:dyDescent="1"/>
    <row r="15" spans="1:3" ht="24.5" x14ac:dyDescent="1.35">
      <c r="A15" s="5" t="s">
        <v>11</v>
      </c>
      <c r="B15" s="3">
        <f>0.09+0.06+0.07</f>
        <v>0.22</v>
      </c>
    </row>
    <row r="17" spans="1:2" ht="21.75" thickBot="1" x14ac:dyDescent="1.1499999999999999">
      <c r="A17" s="4" t="s">
        <v>12</v>
      </c>
      <c r="B17" s="4"/>
    </row>
    <row r="18" spans="1:2" ht="21.75" thickTop="1" x14ac:dyDescent="1"/>
    <row r="19" spans="1:2" x14ac:dyDescent="1">
      <c r="A19" s="5" t="s">
        <v>22</v>
      </c>
      <c r="B19" s="3">
        <f>0.08/(1-0.65)</f>
        <v>0.22857142857142859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B023-113C-4461-9715-2F17D6EF60AD}">
  <dimension ref="A10:E28"/>
  <sheetViews>
    <sheetView topLeftCell="A24" zoomScale="145" zoomScaleNormal="145" workbookViewId="0">
      <selection activeCell="B29" sqref="B29"/>
    </sheetView>
  </sheetViews>
  <sheetFormatPr baseColWidth="10" defaultColWidth="10.86328125" defaultRowHeight="21" x14ac:dyDescent="1"/>
  <cols>
    <col min="1" max="1" width="19.86328125" style="2" customWidth="1"/>
    <col min="2" max="2" width="19.26953125" style="2" customWidth="1"/>
    <col min="3" max="3" width="10.86328125" style="2"/>
    <col min="4" max="4" width="18.54296875" style="2" customWidth="1"/>
    <col min="5" max="5" width="20.26953125" style="2" customWidth="1"/>
    <col min="6" max="16384" width="10.86328125" style="2"/>
  </cols>
  <sheetData>
    <row r="10" spans="1:5" ht="24.5" x14ac:dyDescent="1.35">
      <c r="A10" s="5" t="s">
        <v>13</v>
      </c>
      <c r="B10" s="3">
        <f>1/3</f>
        <v>0.33333333333333331</v>
      </c>
      <c r="D10" s="5" t="s">
        <v>16</v>
      </c>
      <c r="E10" s="3">
        <f>(1/2)*(1/2)</f>
        <v>0.25</v>
      </c>
    </row>
    <row r="11" spans="1:5" ht="24.5" x14ac:dyDescent="1.35">
      <c r="A11" s="5" t="s">
        <v>14</v>
      </c>
      <c r="B11" s="3">
        <f t="shared" ref="B11:B12" si="0">1/3</f>
        <v>0.33333333333333331</v>
      </c>
      <c r="D11" s="5" t="s">
        <v>17</v>
      </c>
      <c r="E11" s="3">
        <f>(1/2)*(1/2)</f>
        <v>0.25</v>
      </c>
    </row>
    <row r="12" spans="1:5" ht="24.5" x14ac:dyDescent="1.35">
      <c r="A12" s="5" t="s">
        <v>15</v>
      </c>
      <c r="B12" s="3">
        <f t="shared" si="0"/>
        <v>0.33333333333333331</v>
      </c>
      <c r="D12" s="5" t="s">
        <v>18</v>
      </c>
      <c r="E12" s="3">
        <v>1</v>
      </c>
    </row>
    <row r="15" spans="1:5" ht="21.75" thickBot="1" x14ac:dyDescent="1.1499999999999999">
      <c r="A15" s="4" t="s">
        <v>9</v>
      </c>
      <c r="B15" s="4"/>
    </row>
    <row r="16" spans="1:5" ht="21.75" thickTop="1" x14ac:dyDescent="1"/>
    <row r="17" spans="1:2" x14ac:dyDescent="1">
      <c r="A17" s="5" t="s">
        <v>3</v>
      </c>
      <c r="B17" s="3">
        <f>SUMPRODUCT(B10:B12,E10:E12)</f>
        <v>0.5</v>
      </c>
    </row>
    <row r="20" spans="1:2" ht="21.75" thickBot="1" x14ac:dyDescent="1.1499999999999999">
      <c r="A20" s="4" t="s">
        <v>10</v>
      </c>
      <c r="B20" s="4"/>
    </row>
    <row r="21" spans="1:2" ht="21.75" thickTop="1" x14ac:dyDescent="1"/>
    <row r="22" spans="1:2" x14ac:dyDescent="1">
      <c r="A22" s="5" t="s">
        <v>19</v>
      </c>
      <c r="B22" s="3">
        <f>(1/3)*(1/2)*(1/2)*(1/2)+(1/3)*(1/2)*(1/2)*(1/2)</f>
        <v>8.3333333333333329E-2</v>
      </c>
    </row>
    <row r="25" spans="1:2" ht="21.75" thickBot="1" x14ac:dyDescent="1.1499999999999999">
      <c r="A25" s="4" t="s">
        <v>12</v>
      </c>
      <c r="B25" s="4"/>
    </row>
    <row r="26" spans="1:2" ht="21.75" thickTop="1" x14ac:dyDescent="1"/>
    <row r="27" spans="1:2" x14ac:dyDescent="1">
      <c r="A27" s="5" t="s">
        <v>20</v>
      </c>
      <c r="B27" s="3">
        <f>(1/3)*(1/2)+(1/3)*(1/2)+(1/3)*1</f>
        <v>0.66666666666666663</v>
      </c>
    </row>
    <row r="28" spans="1:2" ht="24.5" x14ac:dyDescent="1.35">
      <c r="A28" s="5" t="s">
        <v>21</v>
      </c>
      <c r="B28" s="3">
        <f>(1/3)/B27</f>
        <v>0.5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5BB8-4BAE-4A0C-BA99-944286923E2C}">
  <dimension ref="A9:I26"/>
  <sheetViews>
    <sheetView topLeftCell="A14" zoomScale="190" zoomScaleNormal="190" workbookViewId="0">
      <selection activeCell="C23" sqref="C23:D23"/>
    </sheetView>
  </sheetViews>
  <sheetFormatPr baseColWidth="10" defaultRowHeight="14.75" x14ac:dyDescent="0.75"/>
  <cols>
    <col min="1" max="2" width="10.86328125" customWidth="1"/>
  </cols>
  <sheetData>
    <row r="9" spans="1:9" ht="17.45" customHeight="1" x14ac:dyDescent="1">
      <c r="A9" s="7"/>
      <c r="B9" s="22" t="s">
        <v>23</v>
      </c>
      <c r="C9" s="22"/>
      <c r="D9" s="22"/>
    </row>
    <row r="10" spans="1:9" ht="24.5" x14ac:dyDescent="1.35">
      <c r="A10" s="9" t="s">
        <v>24</v>
      </c>
      <c r="B10" s="8" t="s">
        <v>25</v>
      </c>
      <c r="C10" s="8" t="s">
        <v>26</v>
      </c>
      <c r="D10" s="8" t="s">
        <v>27</v>
      </c>
      <c r="F10" s="6"/>
      <c r="G10" s="11" t="s">
        <v>31</v>
      </c>
      <c r="H10" s="11" t="s">
        <v>32</v>
      </c>
      <c r="I10" s="11" t="s">
        <v>33</v>
      </c>
    </row>
    <row r="11" spans="1:9" ht="21.25" x14ac:dyDescent="1.05">
      <c r="A11" s="9" t="s">
        <v>28</v>
      </c>
      <c r="B11" s="10">
        <v>1</v>
      </c>
      <c r="C11" s="10">
        <v>2</v>
      </c>
      <c r="D11" s="10">
        <v>3</v>
      </c>
      <c r="F11" s="12" t="s">
        <v>28</v>
      </c>
      <c r="G11" s="13">
        <f>1/3</f>
        <v>0.33333333333333331</v>
      </c>
      <c r="H11" s="13">
        <f>D11/SUM(B11:D11)</f>
        <v>0.5</v>
      </c>
      <c r="I11" s="13">
        <f>B11/SUM(B11:D11)</f>
        <v>0.16666666666666666</v>
      </c>
    </row>
    <row r="12" spans="1:9" ht="21.25" x14ac:dyDescent="1.05">
      <c r="A12" s="9" t="s">
        <v>29</v>
      </c>
      <c r="B12" s="10">
        <v>2</v>
      </c>
      <c r="C12" s="10">
        <v>3</v>
      </c>
      <c r="D12" s="10">
        <v>4</v>
      </c>
      <c r="F12" s="12" t="s">
        <v>29</v>
      </c>
      <c r="G12" s="13">
        <f t="shared" ref="G12:G13" si="0">1/3</f>
        <v>0.33333333333333331</v>
      </c>
      <c r="H12" s="13">
        <f t="shared" ref="H12:H13" si="1">D12/SUM(B12:D12)</f>
        <v>0.44444444444444442</v>
      </c>
      <c r="I12" s="13">
        <f t="shared" ref="I12:I13" si="2">B12/SUM(B12:D12)</f>
        <v>0.22222222222222221</v>
      </c>
    </row>
    <row r="13" spans="1:9" ht="21.25" x14ac:dyDescent="1.05">
      <c r="A13" s="9" t="s">
        <v>30</v>
      </c>
      <c r="B13" s="10">
        <v>4</v>
      </c>
      <c r="C13" s="10">
        <v>7</v>
      </c>
      <c r="D13" s="10">
        <v>5</v>
      </c>
      <c r="F13" s="12" t="s">
        <v>30</v>
      </c>
      <c r="G13" s="13">
        <f t="shared" si="0"/>
        <v>0.33333333333333331</v>
      </c>
      <c r="H13" s="13">
        <f t="shared" si="1"/>
        <v>0.3125</v>
      </c>
      <c r="I13" s="13">
        <f t="shared" si="2"/>
        <v>0.25</v>
      </c>
    </row>
    <row r="15" spans="1:9" ht="21.75" thickBot="1" x14ac:dyDescent="1.1499999999999999">
      <c r="A15" s="4" t="s">
        <v>9</v>
      </c>
      <c r="B15" s="4"/>
    </row>
    <row r="16" spans="1:9" ht="21.75" thickTop="1" x14ac:dyDescent="1">
      <c r="A16" s="2"/>
      <c r="B16" s="2"/>
    </row>
    <row r="17" spans="1:4" ht="21" x14ac:dyDescent="1">
      <c r="A17" s="20" t="s">
        <v>34</v>
      </c>
      <c r="B17" s="20"/>
      <c r="C17" s="23">
        <f>SUMPRODUCT(G11:G13,H11:H13)</f>
        <v>0.4189814814814814</v>
      </c>
      <c r="D17" s="21"/>
    </row>
    <row r="18" spans="1:4" ht="21" x14ac:dyDescent="1">
      <c r="A18" s="2"/>
      <c r="B18" s="2"/>
    </row>
    <row r="19" spans="1:4" ht="21" x14ac:dyDescent="1">
      <c r="A19" s="2"/>
      <c r="B19" s="2"/>
    </row>
    <row r="20" spans="1:4" ht="21.75" thickBot="1" x14ac:dyDescent="1.1499999999999999">
      <c r="A20" s="4" t="s">
        <v>10</v>
      </c>
      <c r="B20" s="4"/>
    </row>
    <row r="21" spans="1:4" ht="21.75" thickTop="1" x14ac:dyDescent="1">
      <c r="A21" s="2"/>
      <c r="B21" s="2"/>
    </row>
    <row r="22" spans="1:4" ht="21" x14ac:dyDescent="1">
      <c r="A22" s="20" t="s">
        <v>3</v>
      </c>
      <c r="B22" s="20"/>
      <c r="C22" s="21">
        <f>SUMPRODUCT(G11:G13,I11:I13)</f>
        <v>0.21296296296296297</v>
      </c>
      <c r="D22" s="21"/>
    </row>
    <row r="23" spans="1:4" ht="24.5" x14ac:dyDescent="1.35">
      <c r="A23" s="20" t="s">
        <v>35</v>
      </c>
      <c r="B23" s="20"/>
      <c r="C23" s="21">
        <f>G12*I12/$C$22</f>
        <v>0.34782608695652173</v>
      </c>
      <c r="D23" s="21"/>
    </row>
    <row r="24" spans="1:4" ht="24.5" x14ac:dyDescent="1.35">
      <c r="A24" s="20" t="s">
        <v>36</v>
      </c>
      <c r="B24" s="20"/>
      <c r="C24" s="21">
        <f>G13*I13/$C$22</f>
        <v>0.39130434782608692</v>
      </c>
      <c r="D24" s="21"/>
    </row>
    <row r="26" spans="1:4" ht="24.5" x14ac:dyDescent="1.35">
      <c r="A26" s="20" t="s">
        <v>37</v>
      </c>
      <c r="B26" s="20"/>
      <c r="C26" s="21">
        <f>C23+C24</f>
        <v>0.73913043478260865</v>
      </c>
      <c r="D26" s="21"/>
    </row>
  </sheetData>
  <mergeCells count="11">
    <mergeCell ref="A24:B24"/>
    <mergeCell ref="C24:D24"/>
    <mergeCell ref="A26:B26"/>
    <mergeCell ref="C26:D26"/>
    <mergeCell ref="B9:D9"/>
    <mergeCell ref="A17:B17"/>
    <mergeCell ref="C17:D17"/>
    <mergeCell ref="A22:B22"/>
    <mergeCell ref="C22:D22"/>
    <mergeCell ref="A23:B23"/>
    <mergeCell ref="C23:D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317-18D5-45CE-BAA6-ECD83F4467D1}">
  <dimension ref="A1"/>
  <sheetViews>
    <sheetView zoomScale="145" zoomScaleNormal="145" workbookViewId="0">
      <selection activeCell="D12" sqref="D12"/>
    </sheetView>
  </sheetViews>
  <sheetFormatPr baseColWidth="10" defaultRowHeight="14.75" x14ac:dyDescent="0.7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D15B-D1F1-45B8-8FDC-414FE2FAD5DA}">
  <dimension ref="A16:AR43"/>
  <sheetViews>
    <sheetView topLeftCell="A28" zoomScale="145" zoomScaleNormal="145" workbookViewId="0">
      <selection activeCell="B41" sqref="B41"/>
    </sheetView>
  </sheetViews>
  <sheetFormatPr baseColWidth="10" defaultColWidth="18.26953125" defaultRowHeight="21" x14ac:dyDescent="1"/>
  <cols>
    <col min="1" max="1" width="23.86328125" style="2" customWidth="1"/>
    <col min="2" max="2" width="26.7265625" style="2" bestFit="1" customWidth="1"/>
    <col min="3" max="3" width="18.26953125" style="2"/>
    <col min="4" max="4" width="21.7265625" style="2" bestFit="1" customWidth="1"/>
    <col min="5" max="5" width="27.1328125" style="2" bestFit="1" customWidth="1"/>
    <col min="6" max="16384" width="18.26953125" style="2"/>
  </cols>
  <sheetData>
    <row r="16" spans="1:4" ht="21.75" thickBot="1" x14ac:dyDescent="1.1499999999999999">
      <c r="A16" s="14"/>
      <c r="B16" s="8" t="s">
        <v>38</v>
      </c>
      <c r="C16" s="8" t="s">
        <v>39</v>
      </c>
      <c r="D16" s="8" t="s">
        <v>40</v>
      </c>
    </row>
    <row r="17" spans="1:44" ht="21.75" thickTop="1" x14ac:dyDescent="1">
      <c r="A17" s="9" t="s">
        <v>41</v>
      </c>
      <c r="B17" s="15">
        <v>20</v>
      </c>
      <c r="C17" s="15">
        <v>30</v>
      </c>
      <c r="D17" s="15">
        <v>50</v>
      </c>
    </row>
    <row r="18" spans="1:44" x14ac:dyDescent="1">
      <c r="A18" s="9" t="s">
        <v>42</v>
      </c>
      <c r="B18" s="15">
        <v>60</v>
      </c>
      <c r="C18" s="15">
        <v>140</v>
      </c>
      <c r="D18" s="15">
        <v>200</v>
      </c>
    </row>
    <row r="19" spans="1:44" ht="21.75" thickBot="1" x14ac:dyDescent="1.1499999999999999">
      <c r="A19" s="9" t="s">
        <v>43</v>
      </c>
      <c r="B19" s="16">
        <v>100</v>
      </c>
      <c r="C19" s="16">
        <v>50</v>
      </c>
      <c r="D19" s="16">
        <v>150</v>
      </c>
    </row>
    <row r="20" spans="1:44" ht="22.5" thickTop="1" thickBot="1" x14ac:dyDescent="1.1499999999999999">
      <c r="A20" s="9" t="s">
        <v>40</v>
      </c>
      <c r="B20" s="16">
        <v>180</v>
      </c>
      <c r="C20" s="16">
        <v>220</v>
      </c>
      <c r="D20" s="16">
        <v>400</v>
      </c>
    </row>
    <row r="21" spans="1:44" ht="21.75" thickTop="1" x14ac:dyDescent="1"/>
    <row r="22" spans="1:44" ht="21.75" thickBot="1" x14ac:dyDescent="1.1499999999999999">
      <c r="A22" s="4" t="s">
        <v>9</v>
      </c>
      <c r="B22" s="4"/>
    </row>
    <row r="23" spans="1:44" ht="21.75" thickTop="1" x14ac:dyDescent="1"/>
    <row r="24" spans="1:44" x14ac:dyDescent="1">
      <c r="A24" s="5" t="s">
        <v>44</v>
      </c>
      <c r="B24" s="3">
        <f>B20/D20</f>
        <v>0.45</v>
      </c>
    </row>
    <row r="25" spans="1:44" x14ac:dyDescent="1">
      <c r="A25" s="5" t="s">
        <v>45</v>
      </c>
      <c r="B25" s="3">
        <f>D19/D20</f>
        <v>0.375</v>
      </c>
    </row>
    <row r="26" spans="1:44" x14ac:dyDescent="1">
      <c r="A26" s="5" t="s">
        <v>46</v>
      </c>
      <c r="B26" s="3">
        <f>C17/D20</f>
        <v>7.4999999999999997E-2</v>
      </c>
    </row>
    <row r="27" spans="1:44" x14ac:dyDescent="1">
      <c r="A27" s="5" t="s">
        <v>47</v>
      </c>
      <c r="B27" s="3">
        <f>(B18/D20)/(B20/D20)</f>
        <v>0.33333333333333331</v>
      </c>
    </row>
    <row r="28" spans="1:44" x14ac:dyDescent="1">
      <c r="A28" s="5" t="s">
        <v>48</v>
      </c>
      <c r="B28" s="3">
        <f>(B18/D20)/(D18/D20)</f>
        <v>0.3</v>
      </c>
    </row>
    <row r="30" spans="1:44" ht="21.75" thickBot="1" x14ac:dyDescent="1.1499999999999999">
      <c r="A30" s="4" t="s">
        <v>10</v>
      </c>
      <c r="B30" s="4"/>
      <c r="AR30" s="2" t="s">
        <v>52</v>
      </c>
    </row>
    <row r="31" spans="1:44" ht="21.75" thickTop="1" x14ac:dyDescent="1">
      <c r="AR31" s="2" t="s">
        <v>53</v>
      </c>
    </row>
    <row r="32" spans="1:44" x14ac:dyDescent="1">
      <c r="A32" s="5" t="s">
        <v>45</v>
      </c>
      <c r="B32" s="3">
        <f>D19/D20</f>
        <v>0.375</v>
      </c>
      <c r="D32" s="5" t="s">
        <v>2</v>
      </c>
      <c r="E32" s="3">
        <f>D17/D20</f>
        <v>0.125</v>
      </c>
    </row>
    <row r="33" spans="1:44" x14ac:dyDescent="1">
      <c r="A33" s="5" t="s">
        <v>50</v>
      </c>
      <c r="B33" s="3">
        <f>C20/D20</f>
        <v>0.55000000000000004</v>
      </c>
      <c r="D33" s="5" t="s">
        <v>44</v>
      </c>
      <c r="E33" s="3">
        <f>B20/D20</f>
        <v>0.45</v>
      </c>
    </row>
    <row r="34" spans="1:44" x14ac:dyDescent="1">
      <c r="A34" s="5" t="s">
        <v>51</v>
      </c>
      <c r="B34" s="3">
        <f>C19/D20</f>
        <v>0.125</v>
      </c>
      <c r="D34" s="5" t="s">
        <v>49</v>
      </c>
      <c r="E34" s="3">
        <f>B17/D20</f>
        <v>0.05</v>
      </c>
    </row>
    <row r="35" spans="1:44" x14ac:dyDescent="1">
      <c r="A35" s="5" t="s">
        <v>87</v>
      </c>
      <c r="B35" s="3">
        <f>B32*B33</f>
        <v>0.20625000000000002</v>
      </c>
      <c r="D35" s="5" t="s">
        <v>88</v>
      </c>
      <c r="E35" s="3">
        <f>E32*E33</f>
        <v>5.6250000000000001E-2</v>
      </c>
    </row>
    <row r="36" spans="1:44" x14ac:dyDescent="1">
      <c r="A36" s="5" t="s">
        <v>56</v>
      </c>
      <c r="B36" s="3" t="s">
        <v>53</v>
      </c>
      <c r="D36" s="5" t="s">
        <v>56</v>
      </c>
      <c r="E36" s="3" t="s">
        <v>55</v>
      </c>
      <c r="AR36" s="2" t="s">
        <v>54</v>
      </c>
    </row>
    <row r="37" spans="1:44" x14ac:dyDescent="1">
      <c r="AR37" s="2" t="s">
        <v>55</v>
      </c>
    </row>
    <row r="38" spans="1:44" ht="21.75" thickBot="1" x14ac:dyDescent="1.1499999999999999">
      <c r="A38" s="4" t="s">
        <v>12</v>
      </c>
      <c r="B38" s="4"/>
    </row>
    <row r="39" spans="1:44" ht="21.75" thickTop="1" x14ac:dyDescent="1"/>
    <row r="40" spans="1:44" x14ac:dyDescent="1">
      <c r="A40" s="5" t="s">
        <v>57</v>
      </c>
      <c r="B40" s="3">
        <f>E32+E33-E34</f>
        <v>0.52499999999999991</v>
      </c>
    </row>
    <row r="41" spans="1:44" x14ac:dyDescent="1">
      <c r="A41" s="5"/>
      <c r="B41" s="3">
        <f>(D17/D20)+(C20/D20)-(C17/D20)</f>
        <v>0.60000000000000009</v>
      </c>
    </row>
    <row r="42" spans="1:44" x14ac:dyDescent="1">
      <c r="A42" s="5" t="s">
        <v>58</v>
      </c>
      <c r="B42" s="3">
        <f>B18/D20</f>
        <v>0.15</v>
      </c>
    </row>
    <row r="43" spans="1:44" x14ac:dyDescent="1">
      <c r="A43" s="5" t="s">
        <v>59</v>
      </c>
      <c r="B43" s="3">
        <f>(B17/D20)/(D17/D20)</f>
        <v>0.4</v>
      </c>
    </row>
  </sheetData>
  <dataValidations count="2">
    <dataValidation type="list" allowBlank="1" showInputMessage="1" showErrorMessage="1" sqref="B36" xr:uid="{083CF8D2-82BE-4F9F-92A3-84E6DC42A178}">
      <formula1>$AR$30:$AR$31</formula1>
    </dataValidation>
    <dataValidation type="list" allowBlank="1" showInputMessage="1" showErrorMessage="1" sqref="E36" xr:uid="{B15DEFC6-7549-43C6-89EF-2C9837342A13}">
      <formula1>$AR$36:$AR$37</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BE0E-6BE7-4033-9E47-D0C4447CB60D}">
  <dimension ref="A30:E46"/>
  <sheetViews>
    <sheetView zoomScale="160" zoomScaleNormal="160" workbookViewId="0">
      <selection activeCell="C45" sqref="C45"/>
    </sheetView>
  </sheetViews>
  <sheetFormatPr baseColWidth="10" defaultRowHeight="14.75" x14ac:dyDescent="0.75"/>
  <cols>
    <col min="1" max="1" width="42.86328125" bestFit="1" customWidth="1"/>
    <col min="2" max="2" width="19.54296875" customWidth="1"/>
    <col min="4" max="4" width="21.40625" bestFit="1" customWidth="1"/>
  </cols>
  <sheetData>
    <row r="30" spans="1:5" ht="15.5" thickBot="1" x14ac:dyDescent="0.9"/>
    <row r="31" spans="1:5" ht="22.5" thickTop="1" thickBot="1" x14ac:dyDescent="1.1499999999999999">
      <c r="A31" s="4" t="s">
        <v>9</v>
      </c>
      <c r="B31" s="4"/>
      <c r="D31" s="17" t="s">
        <v>89</v>
      </c>
      <c r="E31" s="18">
        <v>0.01</v>
      </c>
    </row>
    <row r="32" spans="1:5" ht="22.5" thickTop="1" thickBot="1" x14ac:dyDescent="1.1499999999999999">
      <c r="A32" s="2"/>
      <c r="B32" s="2"/>
      <c r="D32" s="17" t="s">
        <v>90</v>
      </c>
      <c r="E32" s="18">
        <v>0.05</v>
      </c>
    </row>
    <row r="33" spans="1:5" ht="26" thickTop="1" thickBot="1" x14ac:dyDescent="1.5">
      <c r="A33" s="17" t="s">
        <v>60</v>
      </c>
      <c r="B33" s="3">
        <f>1-(1-E31)^3</f>
        <v>2.9701000000000088E-2</v>
      </c>
      <c r="D33" s="17" t="s">
        <v>91</v>
      </c>
      <c r="E33" s="18">
        <v>0.05</v>
      </c>
    </row>
    <row r="34" spans="1:5" ht="21.75" thickTop="1" x14ac:dyDescent="1">
      <c r="A34" s="2"/>
      <c r="B34" s="2"/>
    </row>
    <row r="35" spans="1:5" ht="21.75" thickBot="1" x14ac:dyDescent="1.1499999999999999">
      <c r="A35" s="4" t="s">
        <v>10</v>
      </c>
      <c r="B35" s="4"/>
    </row>
    <row r="36" spans="1:5" ht="15.5" thickTop="1" x14ac:dyDescent="0.75"/>
    <row r="37" spans="1:5" ht="21" x14ac:dyDescent="1">
      <c r="A37" s="17" t="s">
        <v>61</v>
      </c>
      <c r="B37" s="3">
        <f>E32^2</f>
        <v>2.5000000000000005E-3</v>
      </c>
    </row>
    <row r="38" spans="1:5" ht="24.5" x14ac:dyDescent="1.35">
      <c r="A38" s="17" t="s">
        <v>11</v>
      </c>
      <c r="B38" s="3">
        <f>3*B37</f>
        <v>7.5000000000000015E-3</v>
      </c>
    </row>
    <row r="40" spans="1:5" ht="21.75" thickBot="1" x14ac:dyDescent="1.1499999999999999">
      <c r="A40" s="4" t="s">
        <v>12</v>
      </c>
      <c r="B40" s="4"/>
    </row>
    <row r="41" spans="1:5" ht="15.5" thickTop="1" x14ac:dyDescent="0.75"/>
    <row r="42" spans="1:5" ht="21" x14ac:dyDescent="1">
      <c r="A42" s="17" t="s">
        <v>62</v>
      </c>
      <c r="B42" s="3">
        <f>1-(1-E33)^3</f>
        <v>0.14262500000000011</v>
      </c>
    </row>
    <row r="43" spans="1:5" ht="24.5" x14ac:dyDescent="1.35">
      <c r="A43" s="17" t="s">
        <v>63</v>
      </c>
      <c r="B43" s="3">
        <f>B42^2</f>
        <v>2.0341890625000032E-2</v>
      </c>
    </row>
    <row r="45" spans="1:5" ht="21.75" thickBot="1" x14ac:dyDescent="1.1499999999999999">
      <c r="A45" s="4" t="s">
        <v>64</v>
      </c>
      <c r="B45" s="4"/>
    </row>
    <row r="46" spans="1:5" ht="15.5" thickTop="1" x14ac:dyDescent="0.7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6103-B5FA-4656-A2CA-BF88E3885280}">
  <dimension ref="A19:BA45"/>
  <sheetViews>
    <sheetView tabSelected="1" topLeftCell="A24" zoomScale="93" zoomScaleNormal="145" workbookViewId="0">
      <selection activeCell="B31" sqref="B31"/>
    </sheetView>
  </sheetViews>
  <sheetFormatPr baseColWidth="10" defaultRowHeight="14.75" x14ac:dyDescent="0.75"/>
  <cols>
    <col min="1" max="1" width="25.54296875" customWidth="1"/>
    <col min="2" max="2" width="19.54296875" customWidth="1"/>
    <col min="4" max="4" width="29.86328125" customWidth="1"/>
    <col min="5" max="5" width="18.86328125" customWidth="1"/>
  </cols>
  <sheetData>
    <row r="19" spans="1:4" ht="21.75" thickBot="1" x14ac:dyDescent="1.1499999999999999">
      <c r="A19" s="4" t="s">
        <v>9</v>
      </c>
      <c r="B19" s="4"/>
    </row>
    <row r="20" spans="1:4" ht="21.75" thickTop="1" x14ac:dyDescent="1">
      <c r="A20" s="2"/>
      <c r="B20" s="2"/>
      <c r="D20" t="s">
        <v>92</v>
      </c>
    </row>
    <row r="21" spans="1:4" ht="21" x14ac:dyDescent="1">
      <c r="A21" s="17" t="s">
        <v>2</v>
      </c>
      <c r="B21" s="3">
        <v>0.8</v>
      </c>
      <c r="D21" t="s">
        <v>93</v>
      </c>
    </row>
    <row r="22" spans="1:4" ht="21" x14ac:dyDescent="1">
      <c r="A22" s="17" t="s">
        <v>98</v>
      </c>
      <c r="B22" s="3">
        <v>1</v>
      </c>
      <c r="D22" t="s">
        <v>94</v>
      </c>
    </row>
    <row r="23" spans="1:4" ht="21" x14ac:dyDescent="1">
      <c r="A23" s="17" t="s">
        <v>99</v>
      </c>
      <c r="B23" s="3">
        <v>0.3</v>
      </c>
      <c r="D23" t="s">
        <v>95</v>
      </c>
    </row>
    <row r="24" spans="1:4" ht="21" x14ac:dyDescent="1">
      <c r="A24" s="17"/>
      <c r="B24" s="3">
        <f>1-0.2</f>
        <v>0.8</v>
      </c>
      <c r="D24" t="s">
        <v>96</v>
      </c>
    </row>
    <row r="25" spans="1:4" ht="21" x14ac:dyDescent="1">
      <c r="A25" s="17"/>
      <c r="B25" s="3">
        <f>0.3</f>
        <v>0.3</v>
      </c>
      <c r="D25" t="s">
        <v>97</v>
      </c>
    </row>
    <row r="26" spans="1:4" ht="21" x14ac:dyDescent="1">
      <c r="A26" s="17" t="s">
        <v>65</v>
      </c>
      <c r="B26" s="3">
        <f>(1-B21)*B22*B25+B21*1*(1-B24)</f>
        <v>0.21999999999999997</v>
      </c>
    </row>
    <row r="27" spans="1:4" ht="21" x14ac:dyDescent="1">
      <c r="A27" s="2"/>
      <c r="B27" s="2"/>
    </row>
    <row r="28" spans="1:4" ht="21.75" thickBot="1" x14ac:dyDescent="1.1499999999999999">
      <c r="A28" s="4" t="s">
        <v>10</v>
      </c>
      <c r="B28" s="4"/>
    </row>
    <row r="29" spans="1:4" ht="15.5" thickTop="1" x14ac:dyDescent="0.75"/>
    <row r="30" spans="1:4" ht="21" x14ac:dyDescent="1">
      <c r="A30" s="17" t="s">
        <v>66</v>
      </c>
      <c r="B30" s="3">
        <f>B21*1*(1-B24)</f>
        <v>0.15999999999999998</v>
      </c>
    </row>
    <row r="31" spans="1:4" ht="21" x14ac:dyDescent="1">
      <c r="A31" s="17" t="s">
        <v>67</v>
      </c>
      <c r="B31" s="3">
        <f>(1-B21)*B22*B25</f>
        <v>5.9999999999999984E-2</v>
      </c>
    </row>
    <row r="33" spans="1:53" ht="21.75" thickBot="1" x14ac:dyDescent="1.1499999999999999">
      <c r="A33" s="4" t="s">
        <v>12</v>
      </c>
      <c r="B33" s="4"/>
    </row>
    <row r="34" spans="1:53" ht="15.5" thickTop="1" x14ac:dyDescent="0.75">
      <c r="BA34" t="s">
        <v>70</v>
      </c>
    </row>
    <row r="35" spans="1:53" ht="21" x14ac:dyDescent="1">
      <c r="A35" s="17" t="s">
        <v>68</v>
      </c>
      <c r="B35" s="3">
        <f>(0.2*0.3)/B26</f>
        <v>0.27272727272727276</v>
      </c>
      <c r="BA35" t="s">
        <v>71</v>
      </c>
    </row>
    <row r="37" spans="1:53" ht="21.75" thickBot="1" x14ac:dyDescent="1.1499999999999999">
      <c r="A37" s="4" t="s">
        <v>64</v>
      </c>
      <c r="B37" s="4"/>
    </row>
    <row r="38" spans="1:53" ht="15.5" thickTop="1" x14ac:dyDescent="0.75"/>
    <row r="39" spans="1:53" ht="21" x14ac:dyDescent="1">
      <c r="A39" s="5" t="s">
        <v>66</v>
      </c>
      <c r="B39" s="3">
        <f>B30</f>
        <v>0.15999999999999998</v>
      </c>
      <c r="D39" s="5" t="s">
        <v>73</v>
      </c>
      <c r="E39" s="3">
        <v>0</v>
      </c>
    </row>
    <row r="40" spans="1:53" ht="21" x14ac:dyDescent="1">
      <c r="A40" s="5" t="s">
        <v>67</v>
      </c>
      <c r="B40" s="3">
        <f>B31</f>
        <v>5.9999999999999984E-2</v>
      </c>
      <c r="D40" s="5" t="s">
        <v>74</v>
      </c>
      <c r="E40" s="3">
        <f>0.2*0.3</f>
        <v>0.06</v>
      </c>
    </row>
    <row r="41" spans="1:53" ht="21" x14ac:dyDescent="1">
      <c r="A41" s="5" t="s">
        <v>69</v>
      </c>
      <c r="B41" s="3">
        <v>0</v>
      </c>
      <c r="D41" s="5" t="s">
        <v>72</v>
      </c>
      <c r="E41" s="3">
        <v>0</v>
      </c>
    </row>
    <row r="42" spans="1:53" ht="21" x14ac:dyDescent="1">
      <c r="A42" s="5" t="s">
        <v>56</v>
      </c>
      <c r="B42" s="3" t="s">
        <v>71</v>
      </c>
      <c r="D42" s="5" t="s">
        <v>75</v>
      </c>
      <c r="E42" s="3">
        <f>0.8*0.2</f>
        <v>0.16000000000000003</v>
      </c>
    </row>
    <row r="43" spans="1:53" ht="21" x14ac:dyDescent="1">
      <c r="D43" s="5" t="s">
        <v>76</v>
      </c>
      <c r="E43" s="3">
        <v>0</v>
      </c>
    </row>
    <row r="44" spans="1:53" ht="21" x14ac:dyDescent="1">
      <c r="D44" s="5" t="s">
        <v>77</v>
      </c>
      <c r="E44" s="3">
        <v>0</v>
      </c>
    </row>
    <row r="45" spans="1:53" ht="21" x14ac:dyDescent="1">
      <c r="D45" s="5" t="s">
        <v>56</v>
      </c>
      <c r="E45" s="3" t="s">
        <v>70</v>
      </c>
    </row>
  </sheetData>
  <dataValidations count="1">
    <dataValidation type="list" allowBlank="1" showInputMessage="1" showErrorMessage="1" sqref="B42 E45" xr:uid="{4BD00AAB-92B4-44D6-A2BD-40F784F54741}">
      <formula1>$BA$34:$BA$35</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A4A2-54B6-47C5-843A-E95CC5C2987C}">
  <dimension ref="A23:BA61"/>
  <sheetViews>
    <sheetView zoomScale="130" zoomScaleNormal="130" workbookViewId="0">
      <selection activeCell="B62" sqref="B62"/>
    </sheetView>
  </sheetViews>
  <sheetFormatPr baseColWidth="10" defaultRowHeight="14.75" x14ac:dyDescent="0.75"/>
  <cols>
    <col min="1" max="1" width="39.86328125" bestFit="1" customWidth="1"/>
    <col min="2" max="2" width="48" customWidth="1"/>
    <col min="3" max="3" width="20.40625" customWidth="1"/>
    <col min="4" max="4" width="24.86328125" customWidth="1"/>
    <col min="5" max="5" width="18.86328125" customWidth="1"/>
  </cols>
  <sheetData>
    <row r="23" spans="1:3" ht="21.75" thickBot="1" x14ac:dyDescent="1.1499999999999999">
      <c r="A23" s="4" t="s">
        <v>9</v>
      </c>
      <c r="B23" s="4"/>
    </row>
    <row r="24" spans="1:3" ht="21.75" thickTop="1" x14ac:dyDescent="1">
      <c r="A24" s="2"/>
      <c r="B24" s="2"/>
      <c r="C24" s="5" t="s">
        <v>100</v>
      </c>
    </row>
    <row r="25" spans="1:3" ht="21" customHeight="1" x14ac:dyDescent="0.75">
      <c r="A25" s="24" t="s">
        <v>1</v>
      </c>
      <c r="B25" s="3"/>
      <c r="C25" s="3">
        <v>0.1</v>
      </c>
    </row>
    <row r="26" spans="1:3" ht="21" customHeight="1" x14ac:dyDescent="0.75">
      <c r="A26" s="24"/>
      <c r="B26" s="3"/>
      <c r="C26" s="3">
        <v>0.9</v>
      </c>
    </row>
    <row r="27" spans="1:3" ht="21" customHeight="1" x14ac:dyDescent="0.75">
      <c r="A27" s="24"/>
      <c r="B27" s="3"/>
      <c r="C27" s="3">
        <f>1-C28</f>
        <v>0.92</v>
      </c>
    </row>
    <row r="28" spans="1:3" ht="21" customHeight="1" x14ac:dyDescent="0.75">
      <c r="A28" s="24"/>
      <c r="B28" s="3"/>
      <c r="C28" s="3">
        <v>0.08</v>
      </c>
    </row>
    <row r="29" spans="1:3" ht="21" x14ac:dyDescent="1">
      <c r="A29" s="2"/>
      <c r="B29" s="2"/>
    </row>
    <row r="30" spans="1:3" ht="21.75" thickBot="1" x14ac:dyDescent="1.1499999999999999">
      <c r="A30" s="4" t="s">
        <v>10</v>
      </c>
      <c r="B30" s="4"/>
    </row>
    <row r="31" spans="1:3" ht="15.5" thickTop="1" x14ac:dyDescent="0.75"/>
    <row r="50" spans="1:53" ht="21.75" thickBot="1" x14ac:dyDescent="1.1499999999999999">
      <c r="A50" s="4" t="s">
        <v>12</v>
      </c>
      <c r="B50" s="4"/>
    </row>
    <row r="51" spans="1:53" ht="15.5" thickTop="1" x14ac:dyDescent="0.75"/>
    <row r="52" spans="1:53" ht="21" x14ac:dyDescent="1">
      <c r="A52" s="17" t="s">
        <v>101</v>
      </c>
      <c r="B52" s="3">
        <f>(C25+(0.99*0.01)-0.08)/0.1</f>
        <v>0.2990000000000001</v>
      </c>
    </row>
    <row r="53" spans="1:53" ht="21" x14ac:dyDescent="1">
      <c r="A53" s="17" t="s">
        <v>78</v>
      </c>
      <c r="B53" s="3">
        <f>C25*(1-B52)/(0.01*0.9+(1-B52)*0.1)</f>
        <v>0.88621997471555003</v>
      </c>
    </row>
    <row r="54" spans="1:53" x14ac:dyDescent="0.75">
      <c r="BA54" t="s">
        <v>70</v>
      </c>
    </row>
    <row r="55" spans="1:53" ht="21.75" thickBot="1" x14ac:dyDescent="1.1499999999999999">
      <c r="A55" s="4" t="s">
        <v>64</v>
      </c>
      <c r="B55" s="4"/>
      <c r="BA55" t="s">
        <v>71</v>
      </c>
    </row>
    <row r="56" spans="1:53" ht="15.5" thickTop="1" x14ac:dyDescent="0.75"/>
    <row r="57" spans="1:53" ht="21" x14ac:dyDescent="1">
      <c r="B57" s="17" t="s">
        <v>105</v>
      </c>
      <c r="C57" s="17" t="s">
        <v>100</v>
      </c>
    </row>
    <row r="58" spans="1:53" ht="21" x14ac:dyDescent="1">
      <c r="A58" s="17" t="s">
        <v>102</v>
      </c>
      <c r="B58" s="3">
        <v>10</v>
      </c>
      <c r="C58" s="3">
        <f>0.9*0.99</f>
        <v>0.89100000000000001</v>
      </c>
    </row>
    <row r="59" spans="1:53" ht="21" x14ac:dyDescent="1">
      <c r="A59" s="17" t="s">
        <v>103</v>
      </c>
      <c r="B59" s="3">
        <v>-20</v>
      </c>
      <c r="C59" s="3">
        <v>0.1</v>
      </c>
    </row>
    <row r="60" spans="1:53" ht="21" x14ac:dyDescent="1">
      <c r="A60" s="17" t="s">
        <v>104</v>
      </c>
      <c r="B60" s="3">
        <v>-100</v>
      </c>
      <c r="C60" s="3">
        <f>0.9*0.01</f>
        <v>9.0000000000000011E-3</v>
      </c>
    </row>
    <row r="61" spans="1:53" ht="21" x14ac:dyDescent="1">
      <c r="A61" s="17" t="s">
        <v>79</v>
      </c>
      <c r="B61" s="3">
        <f>SUMPRODUCT(B58:B60,C58:C60)</f>
        <v>6.01</v>
      </c>
    </row>
  </sheetData>
  <mergeCells count="1">
    <mergeCell ref="A25:A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64224A-03A6-4276-BEFB-EC4B4DE10F05}"/>
</file>

<file path=customXml/itemProps2.xml><?xml version="1.0" encoding="utf-8"?>
<ds:datastoreItem xmlns:ds="http://schemas.openxmlformats.org/officeDocument/2006/customXml" ds:itemID="{247EACDA-8EF6-45A4-840E-736436326F53}"/>
</file>

<file path=customXml/itemProps3.xml><?xml version="1.0" encoding="utf-8"?>
<ds:datastoreItem xmlns:ds="http://schemas.openxmlformats.org/officeDocument/2006/customXml" ds:itemID="{EC673F73-6B96-4502-87D7-AD5BA69659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3.2</vt:lpstr>
      <vt:lpstr>3.5</vt:lpstr>
      <vt:lpstr>3.8</vt:lpstr>
      <vt:lpstr>3.6</vt:lpstr>
      <vt:lpstr>3.4</vt:lpstr>
      <vt:lpstr>3.11</vt:lpstr>
      <vt:lpstr>3.18</vt:lpstr>
      <vt:lpstr>3.13</vt:lpstr>
      <vt:lpstr>3.17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dc:creator>
  <cp:lastModifiedBy>Rosa Ríos Prado</cp:lastModifiedBy>
  <dcterms:created xsi:type="dcterms:W3CDTF">2015-06-05T18:19:34Z</dcterms:created>
  <dcterms:modified xsi:type="dcterms:W3CDTF">2026-02-07T19:27:24Z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